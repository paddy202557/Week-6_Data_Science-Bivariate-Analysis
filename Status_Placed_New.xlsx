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PEAI\Data_Science\Week5-Data Science-Univate\Central_Tendency\"/>
    </mc:Choice>
  </mc:AlternateContent>
  <xr:revisionPtr revIDLastSave="0" documentId="13_ncr:1_{CDF22B50-E234-4DFE-B745-E35D9654E0C0}" xr6:coauthVersionLast="47" xr6:coauthVersionMax="47" xr10:uidLastSave="{00000000-0000-0000-0000-000000000000}"/>
  <bookViews>
    <workbookView xWindow="20370" yWindow="-120" windowWidth="29040" windowHeight="15840" xr2:uid="{847DF093-4815-42EF-887C-F909746D2AE5}"/>
  </bookViews>
  <sheets>
    <sheet name="Status_Placed" sheetId="1" r:id="rId1"/>
    <sheet name="Summary" sheetId="2" r:id="rId2"/>
  </sheets>
  <definedNames>
    <definedName name="_xlnm._FilterDatabase" localSheetId="0" hidden="1">Status_Placed!$A$1:$N$149</definedName>
  </definedNames>
  <calcPr calcId="191029"/>
</workbook>
</file>

<file path=xl/calcChain.xml><?xml version="1.0" encoding="utf-8"?>
<calcChain xmlns="http://schemas.openxmlformats.org/spreadsheetml/2006/main">
  <c r="I52" i="2" l="1"/>
  <c r="I48" i="2"/>
  <c r="I47" i="2"/>
  <c r="I43" i="2"/>
  <c r="I42" i="2"/>
  <c r="I38" i="2"/>
  <c r="I37" i="2"/>
  <c r="I33" i="2"/>
  <c r="I32" i="2"/>
  <c r="I28" i="2"/>
  <c r="I27" i="2"/>
  <c r="I24" i="2"/>
  <c r="I23" i="2"/>
  <c r="I20" i="2"/>
  <c r="I19" i="2"/>
  <c r="I15" i="2"/>
  <c r="I14" i="2"/>
  <c r="I10" i="2"/>
  <c r="I9" i="2"/>
  <c r="I6" i="2"/>
  <c r="I5" i="2"/>
  <c r="G9" i="2"/>
  <c r="H8" i="2" s="1"/>
  <c r="D9" i="2"/>
  <c r="E8" i="2" s="1"/>
  <c r="G52" i="2"/>
  <c r="H50" i="2" s="1"/>
  <c r="G47" i="2"/>
  <c r="H46" i="2" s="1"/>
  <c r="G42" i="2"/>
  <c r="H40" i="2" s="1"/>
  <c r="G37" i="2"/>
  <c r="H36" i="2" s="1"/>
  <c r="G32" i="2"/>
  <c r="H29" i="2" s="1"/>
  <c r="G27" i="2"/>
  <c r="H26" i="2" s="1"/>
  <c r="G23" i="2"/>
  <c r="H22" i="2" s="1"/>
  <c r="G19" i="2"/>
  <c r="H18" i="2" s="1"/>
  <c r="G14" i="2"/>
  <c r="H13" i="2" s="1"/>
  <c r="G5" i="2"/>
  <c r="H4" i="2" s="1"/>
  <c r="D52" i="2"/>
  <c r="E49" i="2" s="1"/>
  <c r="D47" i="2"/>
  <c r="E45" i="2" s="1"/>
  <c r="D42" i="2"/>
  <c r="E39" i="2" s="1"/>
  <c r="D37" i="2"/>
  <c r="E35" i="2" s="1"/>
  <c r="D32" i="2"/>
  <c r="E30" i="2" s="1"/>
  <c r="D27" i="2"/>
  <c r="E26" i="2" s="1"/>
  <c r="D23" i="2"/>
  <c r="E22" i="2" s="1"/>
  <c r="D19" i="2"/>
  <c r="E17" i="2" s="1"/>
  <c r="D5" i="2"/>
  <c r="E4" i="2" s="1"/>
  <c r="D14" i="2"/>
  <c r="E13" i="2" s="1"/>
  <c r="I13" i="2" l="1"/>
  <c r="E3" i="2"/>
  <c r="H21" i="2"/>
  <c r="H39" i="2"/>
  <c r="I39" i="2" s="1"/>
  <c r="I4" i="2"/>
  <c r="E21" i="2"/>
  <c r="H30" i="2"/>
  <c r="I30" i="2" s="1"/>
  <c r="H49" i="2"/>
  <c r="I49" i="2" s="1"/>
  <c r="H51" i="2"/>
  <c r="H7" i="2"/>
  <c r="E29" i="2"/>
  <c r="H41" i="2"/>
  <c r="E50" i="2"/>
  <c r="I50" i="2" s="1"/>
  <c r="I26" i="2"/>
  <c r="H11" i="2"/>
  <c r="E31" i="2"/>
  <c r="E40" i="2"/>
  <c r="I40" i="2" s="1"/>
  <c r="I22" i="2"/>
  <c r="I29" i="2"/>
  <c r="I8" i="2"/>
  <c r="E7" i="2"/>
  <c r="E11" i="2"/>
  <c r="E18" i="2"/>
  <c r="I18" i="2" s="1"/>
  <c r="E25" i="2"/>
  <c r="E36" i="2"/>
  <c r="I36" i="2" s="1"/>
  <c r="E46" i="2"/>
  <c r="I46" i="2" s="1"/>
  <c r="E12" i="2"/>
  <c r="I12" i="2" s="1"/>
  <c r="H12" i="2"/>
  <c r="H16" i="2"/>
  <c r="H31" i="2"/>
  <c r="I31" i="2" s="1"/>
  <c r="H34" i="2"/>
  <c r="E41" i="2"/>
  <c r="H44" i="2"/>
  <c r="E51" i="2"/>
  <c r="I51" i="2" s="1"/>
  <c r="H3" i="2"/>
  <c r="I3" i="2" s="1"/>
  <c r="E16" i="2"/>
  <c r="H17" i="2"/>
  <c r="I17" i="2" s="1"/>
  <c r="H25" i="2"/>
  <c r="E34" i="2"/>
  <c r="I34" i="2" s="1"/>
  <c r="H35" i="2"/>
  <c r="I35" i="2" s="1"/>
  <c r="E44" i="2"/>
  <c r="I44" i="2" s="1"/>
  <c r="H45" i="2"/>
  <c r="I45" i="2" s="1"/>
  <c r="I21" i="2" l="1"/>
  <c r="I11" i="2"/>
  <c r="I7" i="2"/>
  <c r="I16" i="2"/>
  <c r="I41" i="2"/>
  <c r="I25" i="2"/>
</calcChain>
</file>

<file path=xl/sharedStrings.xml><?xml version="1.0" encoding="utf-8"?>
<sst xmlns="http://schemas.openxmlformats.org/spreadsheetml/2006/main" count="1277" uniqueCount="51">
  <si>
    <t>gender</t>
  </si>
  <si>
    <t>ssc_p</t>
  </si>
  <si>
    <t>ssc_b</t>
  </si>
  <si>
    <t>hsc_p</t>
  </si>
  <si>
    <t>hsc_b</t>
  </si>
  <si>
    <t>hsc_s</t>
  </si>
  <si>
    <t>degree_p</t>
  </si>
  <si>
    <t>degree_t</t>
  </si>
  <si>
    <t>workex</t>
  </si>
  <si>
    <t>etest_p</t>
  </si>
  <si>
    <t>specialisation</t>
  </si>
  <si>
    <t>mba_p</t>
  </si>
  <si>
    <t>status</t>
  </si>
  <si>
    <t>salary</t>
  </si>
  <si>
    <t>F</t>
  </si>
  <si>
    <t>Central</t>
  </si>
  <si>
    <t>Others</t>
  </si>
  <si>
    <t>Commerce</t>
  </si>
  <si>
    <t>Comm&amp;Mgmt</t>
  </si>
  <si>
    <t>No</t>
  </si>
  <si>
    <t>Mkt&amp;HR</t>
  </si>
  <si>
    <t>Placed</t>
  </si>
  <si>
    <t>Arts</t>
  </si>
  <si>
    <t>Yes</t>
  </si>
  <si>
    <t>Science</t>
  </si>
  <si>
    <t>Mkt&amp;Fin</t>
  </si>
  <si>
    <t>Sci&amp;Tech</t>
  </si>
  <si>
    <t>M</t>
  </si>
  <si>
    <t>SSC_B</t>
  </si>
  <si>
    <t>HSC_S</t>
  </si>
  <si>
    <t>DEGRREE_T</t>
  </si>
  <si>
    <t>Comm &amp; Mgmt</t>
  </si>
  <si>
    <t>SCI&amp;TECH</t>
  </si>
  <si>
    <t>WORKEX</t>
  </si>
  <si>
    <t>SPECIALIZATION</t>
  </si>
  <si>
    <t>MKT&amp;FIN</t>
  </si>
  <si>
    <t>MKT&amp;HR</t>
  </si>
  <si>
    <t>&lt;=60</t>
  </si>
  <si>
    <t>&gt;60 &amp; &lt;=70</t>
  </si>
  <si>
    <t>&gt;70</t>
  </si>
  <si>
    <t>Degree_p</t>
  </si>
  <si>
    <t>HSC_B</t>
  </si>
  <si>
    <t>Total</t>
  </si>
  <si>
    <t>Column Name</t>
  </si>
  <si>
    <t>Column Value</t>
  </si>
  <si>
    <t>Not Placed</t>
  </si>
  <si>
    <t>Value</t>
  </si>
  <si>
    <t>% Percent</t>
  </si>
  <si>
    <t>%Percent</t>
  </si>
  <si>
    <t>Diffrence  (Placed % -  Not Placed%)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</si>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</sst>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1" fontId="0" fillId="0" borderId="10" xfId="0" applyNumberFormat="1" applyBorder="1"/>
    <xf numFmtId="1" fontId="0" fillId="0" borderId="0" xfId="0" applyNumberFormat="1"/>
    <xf numFmtId="1" fontId="7" fillId="3" borderId="10" xfId="7" applyNumberFormat="1" applyBorder="1"/>
    <xf numFmtId="1" fontId="6" fillId="2" borderId="10" xfId="6" applyNumberFormat="1" applyBorder="1"/>
    <xf numFmtId="0" fontId="16" fillId="0" borderId="10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16" fillId="0" borderId="11" xfId="0" applyFont="1" applyBorder="1"/>
    <xf numFmtId="1" fontId="16" fillId="0" borderId="11" xfId="0" applyNumberFormat="1" applyFont="1" applyBorder="1"/>
    <xf numFmtId="1" fontId="16" fillId="0" borderId="10" xfId="0" applyNumberFormat="1" applyFont="1" applyBorder="1"/>
    <xf numFmtId="1" fontId="18" fillId="2" borderId="10" xfId="6" applyNumberFormat="1" applyFont="1" applyBorder="1"/>
    <xf numFmtId="0" fontId="16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CF20-AB9C-49CC-B573-63A610606AC1}">
  <dimension ref="A1:N149"/>
  <sheetViews>
    <sheetView tabSelected="1" workbookViewId="0">
      <selection activeCell="K9" sqref="K9"/>
    </sheetView>
  </sheetViews>
  <sheetFormatPr defaultRowHeight="15" x14ac:dyDescent="0.25"/>
  <cols>
    <col min="1" max="1" width="7.28515625" bestFit="1" customWidth="1"/>
    <col min="2" max="2" width="6" bestFit="1" customWidth="1"/>
    <col min="3" max="3" width="7.42578125" bestFit="1" customWidth="1"/>
    <col min="5" max="5" width="8.7109375" customWidth="1"/>
    <col min="6" max="6" width="10.5703125" bestFit="1" customWidth="1"/>
    <col min="7" max="7" width="9.42578125" bestFit="1" customWidth="1"/>
    <col min="9" max="9" width="7.5703125" bestFit="1" customWidth="1"/>
    <col min="11" max="11" width="18.140625" customWidth="1"/>
    <col min="14" max="14" width="11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65</v>
      </c>
      <c r="C2" t="s">
        <v>15</v>
      </c>
      <c r="D2">
        <v>75</v>
      </c>
      <c r="E2" t="s">
        <v>15</v>
      </c>
      <c r="F2" t="s">
        <v>17</v>
      </c>
      <c r="G2">
        <v>69</v>
      </c>
      <c r="H2" t="s">
        <v>18</v>
      </c>
      <c r="I2" t="s">
        <v>23</v>
      </c>
      <c r="J2">
        <v>72</v>
      </c>
      <c r="K2" t="s">
        <v>25</v>
      </c>
      <c r="L2">
        <v>64.66</v>
      </c>
      <c r="M2" t="s">
        <v>21</v>
      </c>
      <c r="N2">
        <v>200000</v>
      </c>
    </row>
    <row r="3" spans="1:14" x14ac:dyDescent="0.25">
      <c r="A3" t="s">
        <v>14</v>
      </c>
      <c r="B3">
        <v>77</v>
      </c>
      <c r="C3" t="s">
        <v>16</v>
      </c>
      <c r="D3">
        <v>73</v>
      </c>
      <c r="E3" t="s">
        <v>16</v>
      </c>
      <c r="F3" t="s">
        <v>17</v>
      </c>
      <c r="G3">
        <v>81</v>
      </c>
      <c r="H3" t="s">
        <v>18</v>
      </c>
      <c r="I3" t="s">
        <v>23</v>
      </c>
      <c r="J3">
        <v>89</v>
      </c>
      <c r="K3" t="s">
        <v>25</v>
      </c>
      <c r="L3">
        <v>69.7</v>
      </c>
      <c r="M3" t="s">
        <v>21</v>
      </c>
      <c r="N3">
        <v>200000</v>
      </c>
    </row>
    <row r="4" spans="1:14" x14ac:dyDescent="0.25">
      <c r="A4" t="s">
        <v>27</v>
      </c>
      <c r="B4">
        <v>79.33</v>
      </c>
      <c r="C4" t="s">
        <v>15</v>
      </c>
      <c r="D4">
        <v>78.33</v>
      </c>
      <c r="E4" t="s">
        <v>16</v>
      </c>
      <c r="F4" t="s">
        <v>24</v>
      </c>
      <c r="G4">
        <v>77.48</v>
      </c>
      <c r="H4" t="s">
        <v>26</v>
      </c>
      <c r="I4" t="s">
        <v>23</v>
      </c>
      <c r="J4">
        <v>86.5</v>
      </c>
      <c r="K4" t="s">
        <v>25</v>
      </c>
      <c r="L4">
        <v>66.28</v>
      </c>
      <c r="M4" t="s">
        <v>21</v>
      </c>
      <c r="N4">
        <v>200000</v>
      </c>
    </row>
    <row r="5" spans="1:14" x14ac:dyDescent="0.25">
      <c r="A5" t="s">
        <v>14</v>
      </c>
      <c r="B5">
        <v>72</v>
      </c>
      <c r="C5" t="s">
        <v>15</v>
      </c>
      <c r="D5">
        <v>56</v>
      </c>
      <c r="E5" t="s">
        <v>16</v>
      </c>
      <c r="F5" t="s">
        <v>24</v>
      </c>
      <c r="G5">
        <v>69</v>
      </c>
      <c r="H5" t="s">
        <v>18</v>
      </c>
      <c r="I5" t="s">
        <v>19</v>
      </c>
      <c r="J5">
        <v>55.6</v>
      </c>
      <c r="K5" t="s">
        <v>20</v>
      </c>
      <c r="L5">
        <v>65.63</v>
      </c>
      <c r="M5" t="s">
        <v>21</v>
      </c>
      <c r="N5">
        <v>200000</v>
      </c>
    </row>
    <row r="6" spans="1:14" x14ac:dyDescent="0.25">
      <c r="A6" t="s">
        <v>14</v>
      </c>
      <c r="B6">
        <v>75.2</v>
      </c>
      <c r="C6" t="s">
        <v>15</v>
      </c>
      <c r="D6">
        <v>73.2</v>
      </c>
      <c r="E6" t="s">
        <v>15</v>
      </c>
      <c r="F6" t="s">
        <v>24</v>
      </c>
      <c r="G6">
        <v>68.400000000000006</v>
      </c>
      <c r="H6" t="s">
        <v>18</v>
      </c>
      <c r="I6" t="s">
        <v>19</v>
      </c>
      <c r="J6">
        <v>65</v>
      </c>
      <c r="K6" t="s">
        <v>20</v>
      </c>
      <c r="L6">
        <v>62.98</v>
      </c>
      <c r="M6" t="s">
        <v>21</v>
      </c>
      <c r="N6">
        <v>200000</v>
      </c>
    </row>
    <row r="7" spans="1:14" x14ac:dyDescent="0.25">
      <c r="A7" t="s">
        <v>27</v>
      </c>
      <c r="B7">
        <v>82</v>
      </c>
      <c r="C7" t="s">
        <v>16</v>
      </c>
      <c r="D7">
        <v>90</v>
      </c>
      <c r="E7" t="s">
        <v>16</v>
      </c>
      <c r="F7" t="s">
        <v>17</v>
      </c>
      <c r="G7">
        <v>83</v>
      </c>
      <c r="H7" t="s">
        <v>18</v>
      </c>
      <c r="I7" t="s">
        <v>19</v>
      </c>
      <c r="J7">
        <v>80</v>
      </c>
      <c r="K7" t="s">
        <v>20</v>
      </c>
      <c r="L7">
        <v>73.52</v>
      </c>
      <c r="M7" t="s">
        <v>21</v>
      </c>
      <c r="N7">
        <v>200000</v>
      </c>
    </row>
    <row r="8" spans="1:14" x14ac:dyDescent="0.25">
      <c r="A8" t="s">
        <v>27</v>
      </c>
      <c r="B8">
        <v>63</v>
      </c>
      <c r="C8" t="s">
        <v>15</v>
      </c>
      <c r="D8">
        <v>60</v>
      </c>
      <c r="E8" t="s">
        <v>15</v>
      </c>
      <c r="F8" t="s">
        <v>17</v>
      </c>
      <c r="G8">
        <v>57</v>
      </c>
      <c r="H8" t="s">
        <v>18</v>
      </c>
      <c r="I8" t="s">
        <v>23</v>
      </c>
      <c r="J8">
        <v>78</v>
      </c>
      <c r="K8" t="s">
        <v>25</v>
      </c>
      <c r="L8">
        <v>54.55</v>
      </c>
      <c r="M8" t="s">
        <v>21</v>
      </c>
      <c r="N8">
        <v>204000</v>
      </c>
    </row>
    <row r="9" spans="1:14" x14ac:dyDescent="0.25">
      <c r="A9" t="s">
        <v>14</v>
      </c>
      <c r="B9">
        <v>74</v>
      </c>
      <c r="C9" t="s">
        <v>16</v>
      </c>
      <c r="D9">
        <v>66</v>
      </c>
      <c r="E9" t="s">
        <v>16</v>
      </c>
      <c r="F9" t="s">
        <v>17</v>
      </c>
      <c r="G9">
        <v>58</v>
      </c>
      <c r="H9" t="s">
        <v>18</v>
      </c>
      <c r="I9" t="s">
        <v>19</v>
      </c>
      <c r="J9">
        <v>70</v>
      </c>
      <c r="K9" t="s">
        <v>20</v>
      </c>
      <c r="L9">
        <v>60.23</v>
      </c>
      <c r="M9" t="s">
        <v>21</v>
      </c>
      <c r="N9">
        <v>204000</v>
      </c>
    </row>
    <row r="10" spans="1:14" x14ac:dyDescent="0.25">
      <c r="A10" t="s">
        <v>14</v>
      </c>
      <c r="B10">
        <v>74</v>
      </c>
      <c r="C10" t="s">
        <v>16</v>
      </c>
      <c r="D10">
        <v>73</v>
      </c>
      <c r="E10" t="s">
        <v>16</v>
      </c>
      <c r="F10" t="s">
        <v>17</v>
      </c>
      <c r="G10">
        <v>73</v>
      </c>
      <c r="H10" t="s">
        <v>18</v>
      </c>
      <c r="I10" t="s">
        <v>23</v>
      </c>
      <c r="J10">
        <v>80</v>
      </c>
      <c r="K10" t="s">
        <v>25</v>
      </c>
      <c r="L10">
        <v>67.69</v>
      </c>
      <c r="M10" t="s">
        <v>21</v>
      </c>
      <c r="N10">
        <v>210000</v>
      </c>
    </row>
    <row r="11" spans="1:14" x14ac:dyDescent="0.25">
      <c r="A11" t="s">
        <v>14</v>
      </c>
      <c r="B11">
        <v>79</v>
      </c>
      <c r="C11" t="s">
        <v>16</v>
      </c>
      <c r="D11">
        <v>61</v>
      </c>
      <c r="E11" t="s">
        <v>16</v>
      </c>
      <c r="F11" t="s">
        <v>24</v>
      </c>
      <c r="G11">
        <v>75.5</v>
      </c>
      <c r="H11" t="s">
        <v>26</v>
      </c>
      <c r="I11" t="s">
        <v>23</v>
      </c>
      <c r="J11">
        <v>70</v>
      </c>
      <c r="K11" t="s">
        <v>25</v>
      </c>
      <c r="L11">
        <v>68.2</v>
      </c>
      <c r="M11" t="s">
        <v>21</v>
      </c>
      <c r="N11">
        <v>210000</v>
      </c>
    </row>
    <row r="12" spans="1:14" x14ac:dyDescent="0.25">
      <c r="A12" t="s">
        <v>14</v>
      </c>
      <c r="B12">
        <v>66</v>
      </c>
      <c r="C12" t="s">
        <v>15</v>
      </c>
      <c r="D12">
        <v>62</v>
      </c>
      <c r="E12" t="s">
        <v>15</v>
      </c>
      <c r="F12" t="s">
        <v>17</v>
      </c>
      <c r="G12">
        <v>73</v>
      </c>
      <c r="H12" t="s">
        <v>18</v>
      </c>
      <c r="I12" t="s">
        <v>19</v>
      </c>
      <c r="J12">
        <v>58</v>
      </c>
      <c r="K12" t="s">
        <v>20</v>
      </c>
      <c r="L12">
        <v>64.36</v>
      </c>
      <c r="M12" t="s">
        <v>21</v>
      </c>
      <c r="N12">
        <v>210000</v>
      </c>
    </row>
    <row r="13" spans="1:14" x14ac:dyDescent="0.25">
      <c r="A13" t="s">
        <v>14</v>
      </c>
      <c r="B13">
        <v>84</v>
      </c>
      <c r="C13" t="s">
        <v>16</v>
      </c>
      <c r="D13">
        <v>75</v>
      </c>
      <c r="E13" t="s">
        <v>16</v>
      </c>
      <c r="F13" t="s">
        <v>24</v>
      </c>
      <c r="G13">
        <v>69</v>
      </c>
      <c r="H13" t="s">
        <v>26</v>
      </c>
      <c r="I13" t="s">
        <v>23</v>
      </c>
      <c r="J13">
        <v>62</v>
      </c>
      <c r="K13" t="s">
        <v>20</v>
      </c>
      <c r="L13">
        <v>62.36</v>
      </c>
      <c r="M13" t="s">
        <v>21</v>
      </c>
      <c r="N13">
        <v>210000</v>
      </c>
    </row>
    <row r="14" spans="1:14" x14ac:dyDescent="0.25">
      <c r="A14" t="s">
        <v>14</v>
      </c>
      <c r="B14">
        <v>73</v>
      </c>
      <c r="C14" t="s">
        <v>16</v>
      </c>
      <c r="D14">
        <v>63</v>
      </c>
      <c r="E14" t="s">
        <v>16</v>
      </c>
      <c r="F14" t="s">
        <v>24</v>
      </c>
      <c r="G14">
        <v>66</v>
      </c>
      <c r="H14" t="s">
        <v>18</v>
      </c>
      <c r="I14" t="s">
        <v>19</v>
      </c>
      <c r="J14">
        <v>89</v>
      </c>
      <c r="K14" t="s">
        <v>25</v>
      </c>
      <c r="L14">
        <v>60.5</v>
      </c>
      <c r="M14" t="s">
        <v>21</v>
      </c>
      <c r="N14">
        <v>216000</v>
      </c>
    </row>
    <row r="15" spans="1:14" x14ac:dyDescent="0.25">
      <c r="A15" t="s">
        <v>27</v>
      </c>
      <c r="B15">
        <v>62</v>
      </c>
      <c r="C15" t="s">
        <v>15</v>
      </c>
      <c r="D15">
        <v>72</v>
      </c>
      <c r="E15" t="s">
        <v>15</v>
      </c>
      <c r="F15" t="s">
        <v>17</v>
      </c>
      <c r="G15">
        <v>65</v>
      </c>
      <c r="H15" t="s">
        <v>18</v>
      </c>
      <c r="I15" t="s">
        <v>19</v>
      </c>
      <c r="J15">
        <v>67</v>
      </c>
      <c r="K15" t="s">
        <v>25</v>
      </c>
      <c r="L15">
        <v>56.49</v>
      </c>
      <c r="M15" t="s">
        <v>21</v>
      </c>
      <c r="N15">
        <v>216000</v>
      </c>
    </row>
    <row r="16" spans="1:14" x14ac:dyDescent="0.25">
      <c r="A16" t="s">
        <v>14</v>
      </c>
      <c r="B16">
        <v>74</v>
      </c>
      <c r="C16" t="s">
        <v>15</v>
      </c>
      <c r="D16">
        <v>60</v>
      </c>
      <c r="E16" t="s">
        <v>16</v>
      </c>
      <c r="F16" t="s">
        <v>24</v>
      </c>
      <c r="G16">
        <v>69</v>
      </c>
      <c r="H16" t="s">
        <v>18</v>
      </c>
      <c r="I16" t="s">
        <v>19</v>
      </c>
      <c r="J16">
        <v>78</v>
      </c>
      <c r="K16" t="s">
        <v>20</v>
      </c>
      <c r="L16">
        <v>65.56</v>
      </c>
      <c r="M16" t="s">
        <v>21</v>
      </c>
      <c r="N16">
        <v>216000</v>
      </c>
    </row>
    <row r="17" spans="1:14" x14ac:dyDescent="0.25">
      <c r="A17" t="s">
        <v>14</v>
      </c>
      <c r="B17">
        <v>77</v>
      </c>
      <c r="C17" t="s">
        <v>15</v>
      </c>
      <c r="D17">
        <v>87</v>
      </c>
      <c r="E17" t="s">
        <v>15</v>
      </c>
      <c r="F17" t="s">
        <v>17</v>
      </c>
      <c r="G17">
        <v>59</v>
      </c>
      <c r="H17" t="s">
        <v>18</v>
      </c>
      <c r="I17" t="s">
        <v>19</v>
      </c>
      <c r="J17">
        <v>68</v>
      </c>
      <c r="K17" t="s">
        <v>25</v>
      </c>
      <c r="L17">
        <v>68.63</v>
      </c>
      <c r="M17" t="s">
        <v>21</v>
      </c>
      <c r="N17">
        <v>218000</v>
      </c>
    </row>
    <row r="18" spans="1:14" x14ac:dyDescent="0.25">
      <c r="A18" t="s">
        <v>27</v>
      </c>
      <c r="B18">
        <v>64.599999999999994</v>
      </c>
      <c r="C18" t="s">
        <v>15</v>
      </c>
      <c r="D18">
        <v>83.83</v>
      </c>
      <c r="E18" t="s">
        <v>16</v>
      </c>
      <c r="F18" t="s">
        <v>17</v>
      </c>
      <c r="G18">
        <v>71.72</v>
      </c>
      <c r="H18" t="s">
        <v>18</v>
      </c>
      <c r="I18" t="s">
        <v>19</v>
      </c>
      <c r="J18">
        <v>86</v>
      </c>
      <c r="K18" t="s">
        <v>25</v>
      </c>
      <c r="L18">
        <v>59.75</v>
      </c>
      <c r="M18" t="s">
        <v>21</v>
      </c>
      <c r="N18">
        <v>218000</v>
      </c>
    </row>
    <row r="19" spans="1:14" x14ac:dyDescent="0.25">
      <c r="A19" t="s">
        <v>14</v>
      </c>
      <c r="B19">
        <v>69</v>
      </c>
      <c r="C19" t="s">
        <v>15</v>
      </c>
      <c r="D19">
        <v>73</v>
      </c>
      <c r="E19" t="s">
        <v>15</v>
      </c>
      <c r="F19" t="s">
        <v>17</v>
      </c>
      <c r="G19">
        <v>65</v>
      </c>
      <c r="H19" t="s">
        <v>18</v>
      </c>
      <c r="I19" t="s">
        <v>19</v>
      </c>
      <c r="J19">
        <v>70</v>
      </c>
      <c r="K19" t="s">
        <v>25</v>
      </c>
      <c r="L19">
        <v>57.31</v>
      </c>
      <c r="M19" t="s">
        <v>21</v>
      </c>
      <c r="N19">
        <v>220000</v>
      </c>
    </row>
    <row r="20" spans="1:14" x14ac:dyDescent="0.25">
      <c r="A20" t="s">
        <v>27</v>
      </c>
      <c r="B20">
        <v>62</v>
      </c>
      <c r="C20" t="s">
        <v>16</v>
      </c>
      <c r="D20">
        <v>63</v>
      </c>
      <c r="E20" t="s">
        <v>16</v>
      </c>
      <c r="F20" t="s">
        <v>17</v>
      </c>
      <c r="G20">
        <v>64</v>
      </c>
      <c r="H20" t="s">
        <v>18</v>
      </c>
      <c r="I20" t="s">
        <v>19</v>
      </c>
      <c r="J20">
        <v>67</v>
      </c>
      <c r="K20" t="s">
        <v>25</v>
      </c>
      <c r="L20">
        <v>57.03</v>
      </c>
      <c r="M20" t="s">
        <v>21</v>
      </c>
      <c r="N20">
        <v>220000</v>
      </c>
    </row>
    <row r="21" spans="1:14" x14ac:dyDescent="0.25">
      <c r="A21" t="s">
        <v>27</v>
      </c>
      <c r="B21">
        <v>77</v>
      </c>
      <c r="C21" t="s">
        <v>15</v>
      </c>
      <c r="D21">
        <v>70</v>
      </c>
      <c r="E21" t="s">
        <v>15</v>
      </c>
      <c r="F21" t="s">
        <v>17</v>
      </c>
      <c r="G21">
        <v>59</v>
      </c>
      <c r="H21" t="s">
        <v>18</v>
      </c>
      <c r="I21" t="s">
        <v>23</v>
      </c>
      <c r="J21">
        <v>58</v>
      </c>
      <c r="K21" t="s">
        <v>25</v>
      </c>
      <c r="L21">
        <v>54.43</v>
      </c>
      <c r="M21" t="s">
        <v>21</v>
      </c>
      <c r="N21">
        <v>220000</v>
      </c>
    </row>
    <row r="22" spans="1:14" x14ac:dyDescent="0.25">
      <c r="A22" t="s">
        <v>14</v>
      </c>
      <c r="B22">
        <v>59</v>
      </c>
      <c r="C22" t="s">
        <v>15</v>
      </c>
      <c r="D22">
        <v>60</v>
      </c>
      <c r="E22" t="s">
        <v>16</v>
      </c>
      <c r="F22" t="s">
        <v>17</v>
      </c>
      <c r="G22">
        <v>56</v>
      </c>
      <c r="H22" t="s">
        <v>18</v>
      </c>
      <c r="I22" t="s">
        <v>19</v>
      </c>
      <c r="J22">
        <v>55</v>
      </c>
      <c r="K22" t="s">
        <v>20</v>
      </c>
      <c r="L22">
        <v>57.9</v>
      </c>
      <c r="M22" t="s">
        <v>21</v>
      </c>
      <c r="N22">
        <v>220000</v>
      </c>
    </row>
    <row r="23" spans="1:14" x14ac:dyDescent="0.25">
      <c r="A23" t="s">
        <v>27</v>
      </c>
      <c r="B23">
        <v>60.4</v>
      </c>
      <c r="C23" t="s">
        <v>15</v>
      </c>
      <c r="D23">
        <v>66.599999999999994</v>
      </c>
      <c r="E23" t="s">
        <v>16</v>
      </c>
      <c r="F23" t="s">
        <v>24</v>
      </c>
      <c r="G23">
        <v>65</v>
      </c>
      <c r="H23" t="s">
        <v>18</v>
      </c>
      <c r="I23" t="s">
        <v>19</v>
      </c>
      <c r="J23">
        <v>71</v>
      </c>
      <c r="K23" t="s">
        <v>20</v>
      </c>
      <c r="L23">
        <v>52.71</v>
      </c>
      <c r="M23" t="s">
        <v>21</v>
      </c>
      <c r="N23">
        <v>220000</v>
      </c>
    </row>
    <row r="24" spans="1:14" x14ac:dyDescent="0.25">
      <c r="A24" t="s">
        <v>27</v>
      </c>
      <c r="B24">
        <v>67</v>
      </c>
      <c r="C24" t="s">
        <v>16</v>
      </c>
      <c r="D24">
        <v>63</v>
      </c>
      <c r="E24" t="s">
        <v>15</v>
      </c>
      <c r="F24" t="s">
        <v>17</v>
      </c>
      <c r="G24">
        <v>72</v>
      </c>
      <c r="H24" t="s">
        <v>18</v>
      </c>
      <c r="I24" t="s">
        <v>19</v>
      </c>
      <c r="J24">
        <v>56</v>
      </c>
      <c r="K24" t="s">
        <v>20</v>
      </c>
      <c r="L24">
        <v>60.41</v>
      </c>
      <c r="M24" t="s">
        <v>21</v>
      </c>
      <c r="N24">
        <v>225000</v>
      </c>
    </row>
    <row r="25" spans="1:14" x14ac:dyDescent="0.25">
      <c r="A25" t="s">
        <v>14</v>
      </c>
      <c r="B25">
        <v>60.23</v>
      </c>
      <c r="C25" t="s">
        <v>15</v>
      </c>
      <c r="D25">
        <v>69</v>
      </c>
      <c r="E25" t="s">
        <v>15</v>
      </c>
      <c r="F25" t="s">
        <v>24</v>
      </c>
      <c r="G25">
        <v>66</v>
      </c>
      <c r="H25" t="s">
        <v>18</v>
      </c>
      <c r="I25" t="s">
        <v>19</v>
      </c>
      <c r="J25">
        <v>72</v>
      </c>
      <c r="K25" t="s">
        <v>25</v>
      </c>
      <c r="L25">
        <v>59.47</v>
      </c>
      <c r="M25" t="s">
        <v>21</v>
      </c>
      <c r="N25">
        <v>230000</v>
      </c>
    </row>
    <row r="26" spans="1:14" x14ac:dyDescent="0.25">
      <c r="A26" t="s">
        <v>14</v>
      </c>
      <c r="B26">
        <v>66.5</v>
      </c>
      <c r="C26" t="s">
        <v>16</v>
      </c>
      <c r="D26">
        <v>70.400000000000006</v>
      </c>
      <c r="E26" t="s">
        <v>15</v>
      </c>
      <c r="F26" t="s">
        <v>22</v>
      </c>
      <c r="G26">
        <v>71.930000000000007</v>
      </c>
      <c r="H26" t="s">
        <v>18</v>
      </c>
      <c r="I26" t="s">
        <v>19</v>
      </c>
      <c r="J26">
        <v>61</v>
      </c>
      <c r="K26" t="s">
        <v>25</v>
      </c>
      <c r="L26">
        <v>64.27</v>
      </c>
      <c r="M26" t="s">
        <v>21</v>
      </c>
      <c r="N26">
        <v>230000</v>
      </c>
    </row>
    <row r="27" spans="1:14" x14ac:dyDescent="0.25">
      <c r="A27" t="s">
        <v>27</v>
      </c>
      <c r="B27">
        <v>73</v>
      </c>
      <c r="C27" t="s">
        <v>15</v>
      </c>
      <c r="D27">
        <v>79</v>
      </c>
      <c r="E27" t="s">
        <v>15</v>
      </c>
      <c r="F27" t="s">
        <v>17</v>
      </c>
      <c r="G27">
        <v>72</v>
      </c>
      <c r="H27" t="s">
        <v>18</v>
      </c>
      <c r="I27" t="s">
        <v>19</v>
      </c>
      <c r="J27">
        <v>91.34</v>
      </c>
      <c r="K27" t="s">
        <v>25</v>
      </c>
      <c r="L27">
        <v>61.29</v>
      </c>
      <c r="M27" t="s">
        <v>21</v>
      </c>
      <c r="N27">
        <v>231000</v>
      </c>
    </row>
    <row r="28" spans="1:14" x14ac:dyDescent="0.25">
      <c r="A28" t="s">
        <v>27</v>
      </c>
      <c r="B28">
        <v>62</v>
      </c>
      <c r="C28" t="s">
        <v>15</v>
      </c>
      <c r="D28">
        <v>63</v>
      </c>
      <c r="E28" t="s">
        <v>16</v>
      </c>
      <c r="F28" t="s">
        <v>24</v>
      </c>
      <c r="G28">
        <v>66</v>
      </c>
      <c r="H28" t="s">
        <v>18</v>
      </c>
      <c r="I28" t="s">
        <v>19</v>
      </c>
      <c r="J28">
        <v>85</v>
      </c>
      <c r="K28" t="s">
        <v>20</v>
      </c>
      <c r="L28">
        <v>55.14</v>
      </c>
      <c r="M28" t="s">
        <v>21</v>
      </c>
      <c r="N28">
        <v>233000</v>
      </c>
    </row>
    <row r="29" spans="1:14" x14ac:dyDescent="0.25">
      <c r="A29" t="s">
        <v>14</v>
      </c>
      <c r="B29">
        <v>66.5</v>
      </c>
      <c r="C29" t="s">
        <v>15</v>
      </c>
      <c r="D29">
        <v>66.8</v>
      </c>
      <c r="E29" t="s">
        <v>15</v>
      </c>
      <c r="F29" t="s">
        <v>22</v>
      </c>
      <c r="G29">
        <v>69.3</v>
      </c>
      <c r="H29" t="s">
        <v>18</v>
      </c>
      <c r="I29" t="s">
        <v>23</v>
      </c>
      <c r="J29">
        <v>80.400000000000006</v>
      </c>
      <c r="K29" t="s">
        <v>25</v>
      </c>
      <c r="L29">
        <v>71</v>
      </c>
      <c r="M29" t="s">
        <v>21</v>
      </c>
      <c r="N29">
        <v>236000</v>
      </c>
    </row>
    <row r="30" spans="1:14" x14ac:dyDescent="0.25">
      <c r="A30" t="s">
        <v>27</v>
      </c>
      <c r="B30">
        <v>60</v>
      </c>
      <c r="C30" t="s">
        <v>16</v>
      </c>
      <c r="D30">
        <v>67</v>
      </c>
      <c r="E30" t="s">
        <v>16</v>
      </c>
      <c r="F30" t="s">
        <v>22</v>
      </c>
      <c r="G30">
        <v>70</v>
      </c>
      <c r="H30" t="s">
        <v>18</v>
      </c>
      <c r="I30" t="s">
        <v>23</v>
      </c>
      <c r="J30">
        <v>50.48</v>
      </c>
      <c r="K30" t="s">
        <v>25</v>
      </c>
      <c r="L30">
        <v>77.89</v>
      </c>
      <c r="M30" t="s">
        <v>21</v>
      </c>
      <c r="N30">
        <v>236000</v>
      </c>
    </row>
    <row r="31" spans="1:14" x14ac:dyDescent="0.25">
      <c r="A31" t="s">
        <v>14</v>
      </c>
      <c r="B31">
        <v>75.400000000000006</v>
      </c>
      <c r="C31" t="s">
        <v>16</v>
      </c>
      <c r="D31">
        <v>60.5</v>
      </c>
      <c r="E31" t="s">
        <v>15</v>
      </c>
      <c r="F31" t="s">
        <v>24</v>
      </c>
      <c r="G31">
        <v>84</v>
      </c>
      <c r="H31" t="s">
        <v>26</v>
      </c>
      <c r="I31" t="s">
        <v>19</v>
      </c>
      <c r="J31">
        <v>98</v>
      </c>
      <c r="K31" t="s">
        <v>25</v>
      </c>
      <c r="L31">
        <v>65.25</v>
      </c>
      <c r="M31" t="s">
        <v>21</v>
      </c>
      <c r="N31">
        <v>240000</v>
      </c>
    </row>
    <row r="32" spans="1:14" x14ac:dyDescent="0.25">
      <c r="A32" t="s">
        <v>14</v>
      </c>
      <c r="B32">
        <v>77</v>
      </c>
      <c r="C32" t="s">
        <v>15</v>
      </c>
      <c r="D32">
        <v>86</v>
      </c>
      <c r="E32" t="s">
        <v>15</v>
      </c>
      <c r="F32" t="s">
        <v>22</v>
      </c>
      <c r="G32">
        <v>56</v>
      </c>
      <c r="H32" t="s">
        <v>16</v>
      </c>
      <c r="I32" t="s">
        <v>19</v>
      </c>
      <c r="J32">
        <v>57</v>
      </c>
      <c r="K32" t="s">
        <v>25</v>
      </c>
      <c r="L32">
        <v>64.08</v>
      </c>
      <c r="M32" t="s">
        <v>21</v>
      </c>
      <c r="N32">
        <v>240000</v>
      </c>
    </row>
    <row r="33" spans="1:14" x14ac:dyDescent="0.25">
      <c r="A33" t="s">
        <v>14</v>
      </c>
      <c r="B33">
        <v>86.5</v>
      </c>
      <c r="C33" t="s">
        <v>16</v>
      </c>
      <c r="D33">
        <v>64.2</v>
      </c>
      <c r="E33" t="s">
        <v>16</v>
      </c>
      <c r="F33" t="s">
        <v>24</v>
      </c>
      <c r="G33">
        <v>67.400000000000006</v>
      </c>
      <c r="H33" t="s">
        <v>26</v>
      </c>
      <c r="I33" t="s">
        <v>19</v>
      </c>
      <c r="J33">
        <v>59</v>
      </c>
      <c r="K33" t="s">
        <v>25</v>
      </c>
      <c r="L33">
        <v>59.69</v>
      </c>
      <c r="M33" t="s">
        <v>21</v>
      </c>
      <c r="N33">
        <v>240000</v>
      </c>
    </row>
    <row r="34" spans="1:14" x14ac:dyDescent="0.25">
      <c r="A34" t="s">
        <v>27</v>
      </c>
      <c r="B34">
        <v>63</v>
      </c>
      <c r="C34" t="s">
        <v>16</v>
      </c>
      <c r="D34">
        <v>71.400000000000006</v>
      </c>
      <c r="E34" t="s">
        <v>16</v>
      </c>
      <c r="F34" t="s">
        <v>17</v>
      </c>
      <c r="G34">
        <v>61.4</v>
      </c>
      <c r="H34" t="s">
        <v>18</v>
      </c>
      <c r="I34" t="s">
        <v>19</v>
      </c>
      <c r="J34">
        <v>68</v>
      </c>
      <c r="K34" t="s">
        <v>25</v>
      </c>
      <c r="L34">
        <v>66.88</v>
      </c>
      <c r="M34" t="s">
        <v>21</v>
      </c>
      <c r="N34">
        <v>240000</v>
      </c>
    </row>
    <row r="35" spans="1:14" x14ac:dyDescent="0.25">
      <c r="A35" t="s">
        <v>27</v>
      </c>
      <c r="B35">
        <v>71</v>
      </c>
      <c r="C35" t="s">
        <v>16</v>
      </c>
      <c r="D35">
        <v>79</v>
      </c>
      <c r="E35" t="s">
        <v>16</v>
      </c>
      <c r="F35" t="s">
        <v>17</v>
      </c>
      <c r="G35">
        <v>66</v>
      </c>
      <c r="H35" t="s">
        <v>18</v>
      </c>
      <c r="I35" t="s">
        <v>23</v>
      </c>
      <c r="J35">
        <v>94</v>
      </c>
      <c r="K35" t="s">
        <v>25</v>
      </c>
      <c r="L35">
        <v>57.55</v>
      </c>
      <c r="M35" t="s">
        <v>21</v>
      </c>
      <c r="N35">
        <v>240000</v>
      </c>
    </row>
    <row r="36" spans="1:14" x14ac:dyDescent="0.25">
      <c r="A36" t="s">
        <v>27</v>
      </c>
      <c r="B36">
        <v>75</v>
      </c>
      <c r="C36" t="s">
        <v>16</v>
      </c>
      <c r="D36">
        <v>70.290000000000006</v>
      </c>
      <c r="E36" t="s">
        <v>16</v>
      </c>
      <c r="F36" t="s">
        <v>17</v>
      </c>
      <c r="G36">
        <v>71</v>
      </c>
      <c r="H36" t="s">
        <v>18</v>
      </c>
      <c r="I36" t="s">
        <v>19</v>
      </c>
      <c r="J36">
        <v>95</v>
      </c>
      <c r="K36" t="s">
        <v>25</v>
      </c>
      <c r="L36">
        <v>66.94</v>
      </c>
      <c r="M36" t="s">
        <v>21</v>
      </c>
      <c r="N36">
        <v>240000</v>
      </c>
    </row>
    <row r="37" spans="1:14" x14ac:dyDescent="0.25">
      <c r="A37" t="s">
        <v>27</v>
      </c>
      <c r="B37">
        <v>77</v>
      </c>
      <c r="C37" t="s">
        <v>16</v>
      </c>
      <c r="D37">
        <v>75</v>
      </c>
      <c r="E37" t="s">
        <v>16</v>
      </c>
      <c r="F37" t="s">
        <v>24</v>
      </c>
      <c r="G37">
        <v>73</v>
      </c>
      <c r="H37" t="s">
        <v>26</v>
      </c>
      <c r="I37" t="s">
        <v>19</v>
      </c>
      <c r="J37">
        <v>80</v>
      </c>
      <c r="K37" t="s">
        <v>25</v>
      </c>
      <c r="L37">
        <v>67.05</v>
      </c>
      <c r="M37" t="s">
        <v>21</v>
      </c>
      <c r="N37">
        <v>240000</v>
      </c>
    </row>
    <row r="38" spans="1:14" x14ac:dyDescent="0.25">
      <c r="A38" t="s">
        <v>27</v>
      </c>
      <c r="B38">
        <v>80</v>
      </c>
      <c r="C38" t="s">
        <v>16</v>
      </c>
      <c r="D38">
        <v>73</v>
      </c>
      <c r="E38" t="s">
        <v>16</v>
      </c>
      <c r="F38" t="s">
        <v>17</v>
      </c>
      <c r="G38">
        <v>75</v>
      </c>
      <c r="H38" t="s">
        <v>18</v>
      </c>
      <c r="I38" t="s">
        <v>19</v>
      </c>
      <c r="J38">
        <v>61</v>
      </c>
      <c r="K38" t="s">
        <v>25</v>
      </c>
      <c r="L38">
        <v>58.78</v>
      </c>
      <c r="M38" t="s">
        <v>21</v>
      </c>
      <c r="N38">
        <v>240000</v>
      </c>
    </row>
    <row r="39" spans="1:14" x14ac:dyDescent="0.25">
      <c r="A39" t="s">
        <v>27</v>
      </c>
      <c r="B39">
        <v>84.86</v>
      </c>
      <c r="C39" t="s">
        <v>16</v>
      </c>
      <c r="D39">
        <v>67</v>
      </c>
      <c r="E39" t="s">
        <v>16</v>
      </c>
      <c r="F39" t="s">
        <v>24</v>
      </c>
      <c r="G39">
        <v>78</v>
      </c>
      <c r="H39" t="s">
        <v>18</v>
      </c>
      <c r="I39" t="s">
        <v>19</v>
      </c>
      <c r="J39">
        <v>95.5</v>
      </c>
      <c r="K39" t="s">
        <v>25</v>
      </c>
      <c r="L39">
        <v>68.53</v>
      </c>
      <c r="M39" t="s">
        <v>21</v>
      </c>
      <c r="N39">
        <v>240000</v>
      </c>
    </row>
    <row r="40" spans="1:14" x14ac:dyDescent="0.25">
      <c r="A40" t="s">
        <v>14</v>
      </c>
      <c r="B40">
        <v>69</v>
      </c>
      <c r="C40" t="s">
        <v>16</v>
      </c>
      <c r="D40">
        <v>62</v>
      </c>
      <c r="E40" t="s">
        <v>16</v>
      </c>
      <c r="F40" t="s">
        <v>17</v>
      </c>
      <c r="G40">
        <v>69</v>
      </c>
      <c r="H40" t="s">
        <v>18</v>
      </c>
      <c r="I40" t="s">
        <v>23</v>
      </c>
      <c r="J40">
        <v>67</v>
      </c>
      <c r="K40" t="s">
        <v>20</v>
      </c>
      <c r="L40">
        <v>62.35</v>
      </c>
      <c r="M40" t="s">
        <v>21</v>
      </c>
      <c r="N40">
        <v>240000</v>
      </c>
    </row>
    <row r="41" spans="1:14" x14ac:dyDescent="0.25">
      <c r="A41" t="s">
        <v>14</v>
      </c>
      <c r="B41">
        <v>73</v>
      </c>
      <c r="C41" t="s">
        <v>16</v>
      </c>
      <c r="D41">
        <v>58</v>
      </c>
      <c r="E41" t="s">
        <v>16</v>
      </c>
      <c r="F41" t="s">
        <v>24</v>
      </c>
      <c r="G41">
        <v>66</v>
      </c>
      <c r="H41" t="s">
        <v>18</v>
      </c>
      <c r="I41" t="s">
        <v>19</v>
      </c>
      <c r="J41">
        <v>53.7</v>
      </c>
      <c r="K41" t="s">
        <v>20</v>
      </c>
      <c r="L41">
        <v>56.86</v>
      </c>
      <c r="M41" t="s">
        <v>21</v>
      </c>
      <c r="N41">
        <v>240000</v>
      </c>
    </row>
    <row r="42" spans="1:14" x14ac:dyDescent="0.25">
      <c r="A42" t="s">
        <v>27</v>
      </c>
      <c r="B42">
        <v>62</v>
      </c>
      <c r="C42" t="s">
        <v>16</v>
      </c>
      <c r="D42">
        <v>62</v>
      </c>
      <c r="E42" t="s">
        <v>16</v>
      </c>
      <c r="F42" t="s">
        <v>17</v>
      </c>
      <c r="G42">
        <v>60</v>
      </c>
      <c r="H42" t="s">
        <v>18</v>
      </c>
      <c r="I42" t="s">
        <v>23</v>
      </c>
      <c r="J42">
        <v>63</v>
      </c>
      <c r="K42" t="s">
        <v>20</v>
      </c>
      <c r="L42">
        <v>52.38</v>
      </c>
      <c r="M42" t="s">
        <v>21</v>
      </c>
      <c r="N42">
        <v>240000</v>
      </c>
    </row>
    <row r="43" spans="1:14" x14ac:dyDescent="0.25">
      <c r="A43" t="s">
        <v>27</v>
      </c>
      <c r="B43">
        <v>70</v>
      </c>
      <c r="C43" t="s">
        <v>15</v>
      </c>
      <c r="D43">
        <v>63</v>
      </c>
      <c r="E43" t="s">
        <v>15</v>
      </c>
      <c r="F43" t="s">
        <v>24</v>
      </c>
      <c r="G43">
        <v>66</v>
      </c>
      <c r="H43" t="s">
        <v>26</v>
      </c>
      <c r="I43" t="s">
        <v>19</v>
      </c>
      <c r="J43">
        <v>61.28</v>
      </c>
      <c r="K43" t="s">
        <v>20</v>
      </c>
      <c r="L43">
        <v>60.11</v>
      </c>
      <c r="M43" t="s">
        <v>21</v>
      </c>
      <c r="N43">
        <v>240000</v>
      </c>
    </row>
    <row r="44" spans="1:14" x14ac:dyDescent="0.25">
      <c r="A44" t="s">
        <v>27</v>
      </c>
      <c r="B44">
        <v>73</v>
      </c>
      <c r="C44" t="s">
        <v>15</v>
      </c>
      <c r="D44">
        <v>78</v>
      </c>
      <c r="E44" t="s">
        <v>15</v>
      </c>
      <c r="F44" t="s">
        <v>24</v>
      </c>
      <c r="G44">
        <v>73</v>
      </c>
      <c r="H44" t="s">
        <v>26</v>
      </c>
      <c r="I44" t="s">
        <v>23</v>
      </c>
      <c r="J44">
        <v>85</v>
      </c>
      <c r="K44" t="s">
        <v>20</v>
      </c>
      <c r="L44">
        <v>65.83</v>
      </c>
      <c r="M44" t="s">
        <v>21</v>
      </c>
      <c r="N44">
        <v>240000</v>
      </c>
    </row>
    <row r="45" spans="1:14" x14ac:dyDescent="0.25">
      <c r="A45" t="s">
        <v>27</v>
      </c>
      <c r="B45">
        <v>74</v>
      </c>
      <c r="C45" t="s">
        <v>16</v>
      </c>
      <c r="D45">
        <v>59</v>
      </c>
      <c r="E45" t="s">
        <v>16</v>
      </c>
      <c r="F45" t="s">
        <v>17</v>
      </c>
      <c r="G45">
        <v>73</v>
      </c>
      <c r="H45" t="s">
        <v>18</v>
      </c>
      <c r="I45" t="s">
        <v>23</v>
      </c>
      <c r="J45">
        <v>60</v>
      </c>
      <c r="K45" t="s">
        <v>20</v>
      </c>
      <c r="L45">
        <v>56.7</v>
      </c>
      <c r="M45" t="s">
        <v>21</v>
      </c>
      <c r="N45">
        <v>240000</v>
      </c>
    </row>
    <row r="46" spans="1:14" x14ac:dyDescent="0.25">
      <c r="A46" t="s">
        <v>14</v>
      </c>
      <c r="B46">
        <v>67.16</v>
      </c>
      <c r="C46" t="s">
        <v>15</v>
      </c>
      <c r="D46">
        <v>72.5</v>
      </c>
      <c r="E46" t="s">
        <v>15</v>
      </c>
      <c r="F46" t="s">
        <v>17</v>
      </c>
      <c r="G46">
        <v>63.35</v>
      </c>
      <c r="H46" t="s">
        <v>18</v>
      </c>
      <c r="I46" t="s">
        <v>19</v>
      </c>
      <c r="J46">
        <v>53.04</v>
      </c>
      <c r="K46" t="s">
        <v>25</v>
      </c>
      <c r="L46">
        <v>65.52</v>
      </c>
      <c r="M46" t="s">
        <v>21</v>
      </c>
      <c r="N46">
        <v>250000</v>
      </c>
    </row>
    <row r="47" spans="1:14" x14ac:dyDescent="0.25">
      <c r="A47" t="s">
        <v>14</v>
      </c>
      <c r="B47">
        <v>77.44</v>
      </c>
      <c r="C47" t="s">
        <v>15</v>
      </c>
      <c r="D47">
        <v>92</v>
      </c>
      <c r="E47" t="s">
        <v>16</v>
      </c>
      <c r="F47" t="s">
        <v>17</v>
      </c>
      <c r="G47">
        <v>72</v>
      </c>
      <c r="H47" t="s">
        <v>18</v>
      </c>
      <c r="I47" t="s">
        <v>23</v>
      </c>
      <c r="J47">
        <v>94</v>
      </c>
      <c r="K47" t="s">
        <v>25</v>
      </c>
      <c r="L47">
        <v>67.13</v>
      </c>
      <c r="M47" t="s">
        <v>21</v>
      </c>
      <c r="N47">
        <v>250000</v>
      </c>
    </row>
    <row r="48" spans="1:14" x14ac:dyDescent="0.25">
      <c r="A48" t="s">
        <v>14</v>
      </c>
      <c r="B48">
        <v>82</v>
      </c>
      <c r="C48" t="s">
        <v>16</v>
      </c>
      <c r="D48">
        <v>64</v>
      </c>
      <c r="E48" t="s">
        <v>16</v>
      </c>
      <c r="F48" t="s">
        <v>24</v>
      </c>
      <c r="G48">
        <v>73</v>
      </c>
      <c r="H48" t="s">
        <v>26</v>
      </c>
      <c r="I48" t="s">
        <v>23</v>
      </c>
      <c r="J48">
        <v>96</v>
      </c>
      <c r="K48" t="s">
        <v>25</v>
      </c>
      <c r="L48">
        <v>71.77</v>
      </c>
      <c r="M48" t="s">
        <v>21</v>
      </c>
      <c r="N48">
        <v>250000</v>
      </c>
    </row>
    <row r="49" spans="1:14" x14ac:dyDescent="0.25">
      <c r="A49" t="s">
        <v>27</v>
      </c>
      <c r="B49">
        <v>53</v>
      </c>
      <c r="C49" t="s">
        <v>15</v>
      </c>
      <c r="D49">
        <v>63</v>
      </c>
      <c r="E49" t="s">
        <v>16</v>
      </c>
      <c r="F49" t="s">
        <v>24</v>
      </c>
      <c r="G49">
        <v>60</v>
      </c>
      <c r="H49" t="s">
        <v>18</v>
      </c>
      <c r="I49" t="s">
        <v>23</v>
      </c>
      <c r="J49">
        <v>70</v>
      </c>
      <c r="K49" t="s">
        <v>25</v>
      </c>
      <c r="L49">
        <v>53.2</v>
      </c>
      <c r="M49" t="s">
        <v>21</v>
      </c>
      <c r="N49">
        <v>250000</v>
      </c>
    </row>
    <row r="50" spans="1:14" x14ac:dyDescent="0.25">
      <c r="A50" t="s">
        <v>27</v>
      </c>
      <c r="B50">
        <v>61</v>
      </c>
      <c r="C50" t="s">
        <v>16</v>
      </c>
      <c r="D50">
        <v>62</v>
      </c>
      <c r="E50" t="s">
        <v>16</v>
      </c>
      <c r="F50" t="s">
        <v>17</v>
      </c>
      <c r="G50">
        <v>65</v>
      </c>
      <c r="H50" t="s">
        <v>18</v>
      </c>
      <c r="I50" t="s">
        <v>19</v>
      </c>
      <c r="J50">
        <v>62</v>
      </c>
      <c r="K50" t="s">
        <v>25</v>
      </c>
      <c r="L50">
        <v>56.81</v>
      </c>
      <c r="M50" t="s">
        <v>21</v>
      </c>
      <c r="N50">
        <v>250000</v>
      </c>
    </row>
    <row r="51" spans="1:14" x14ac:dyDescent="0.25">
      <c r="A51" t="s">
        <v>27</v>
      </c>
      <c r="B51">
        <v>63</v>
      </c>
      <c r="C51" t="s">
        <v>16</v>
      </c>
      <c r="D51">
        <v>62</v>
      </c>
      <c r="E51" t="s">
        <v>16</v>
      </c>
      <c r="F51" t="s">
        <v>17</v>
      </c>
      <c r="G51">
        <v>68</v>
      </c>
      <c r="H51" t="s">
        <v>18</v>
      </c>
      <c r="I51" t="s">
        <v>19</v>
      </c>
      <c r="J51">
        <v>64</v>
      </c>
      <c r="K51" t="s">
        <v>25</v>
      </c>
      <c r="L51">
        <v>62.46</v>
      </c>
      <c r="M51" t="s">
        <v>21</v>
      </c>
      <c r="N51">
        <v>250000</v>
      </c>
    </row>
    <row r="52" spans="1:14" x14ac:dyDescent="0.25">
      <c r="A52" t="s">
        <v>27</v>
      </c>
      <c r="B52">
        <v>65</v>
      </c>
      <c r="C52" t="s">
        <v>15</v>
      </c>
      <c r="D52">
        <v>68</v>
      </c>
      <c r="E52" t="s">
        <v>15</v>
      </c>
      <c r="F52" t="s">
        <v>22</v>
      </c>
      <c r="G52">
        <v>64</v>
      </c>
      <c r="H52" t="s">
        <v>18</v>
      </c>
      <c r="I52" t="s">
        <v>19</v>
      </c>
      <c r="J52">
        <v>75</v>
      </c>
      <c r="K52" t="s">
        <v>25</v>
      </c>
      <c r="L52">
        <v>57.8</v>
      </c>
      <c r="M52" t="s">
        <v>21</v>
      </c>
      <c r="N52">
        <v>250000</v>
      </c>
    </row>
    <row r="53" spans="1:14" x14ac:dyDescent="0.25">
      <c r="A53" t="s">
        <v>27</v>
      </c>
      <c r="B53">
        <v>69.599999999999994</v>
      </c>
      <c r="C53" t="s">
        <v>15</v>
      </c>
      <c r="D53">
        <v>68.400000000000006</v>
      </c>
      <c r="E53" t="s">
        <v>15</v>
      </c>
      <c r="F53" t="s">
        <v>17</v>
      </c>
      <c r="G53">
        <v>78.3</v>
      </c>
      <c r="H53" t="s">
        <v>18</v>
      </c>
      <c r="I53" t="s">
        <v>23</v>
      </c>
      <c r="J53">
        <v>60</v>
      </c>
      <c r="K53" t="s">
        <v>25</v>
      </c>
      <c r="L53">
        <v>63.7</v>
      </c>
      <c r="M53" t="s">
        <v>21</v>
      </c>
      <c r="N53">
        <v>250000</v>
      </c>
    </row>
    <row r="54" spans="1:14" x14ac:dyDescent="0.25">
      <c r="A54" t="s">
        <v>27</v>
      </c>
      <c r="B54">
        <v>72</v>
      </c>
      <c r="C54" t="s">
        <v>16</v>
      </c>
      <c r="D54">
        <v>63</v>
      </c>
      <c r="E54" t="s">
        <v>16</v>
      </c>
      <c r="F54" t="s">
        <v>24</v>
      </c>
      <c r="G54">
        <v>77.5</v>
      </c>
      <c r="H54" t="s">
        <v>26</v>
      </c>
      <c r="I54" t="s">
        <v>23</v>
      </c>
      <c r="J54">
        <v>78</v>
      </c>
      <c r="K54" t="s">
        <v>25</v>
      </c>
      <c r="L54">
        <v>54.48</v>
      </c>
      <c r="M54" t="s">
        <v>21</v>
      </c>
      <c r="N54">
        <v>250000</v>
      </c>
    </row>
    <row r="55" spans="1:14" x14ac:dyDescent="0.25">
      <c r="A55" t="s">
        <v>27</v>
      </c>
      <c r="B55">
        <v>76.7</v>
      </c>
      <c r="C55" t="s">
        <v>15</v>
      </c>
      <c r="D55">
        <v>89.7</v>
      </c>
      <c r="E55" t="s">
        <v>16</v>
      </c>
      <c r="F55" t="s">
        <v>17</v>
      </c>
      <c r="G55">
        <v>66</v>
      </c>
      <c r="H55" t="s">
        <v>18</v>
      </c>
      <c r="I55" t="s">
        <v>23</v>
      </c>
      <c r="J55">
        <v>90</v>
      </c>
      <c r="K55" t="s">
        <v>25</v>
      </c>
      <c r="L55">
        <v>68.55</v>
      </c>
      <c r="M55" t="s">
        <v>21</v>
      </c>
      <c r="N55">
        <v>250000</v>
      </c>
    </row>
    <row r="56" spans="1:14" x14ac:dyDescent="0.25">
      <c r="A56" t="s">
        <v>14</v>
      </c>
      <c r="B56">
        <v>64</v>
      </c>
      <c r="C56" t="s">
        <v>15</v>
      </c>
      <c r="D56">
        <v>73.5</v>
      </c>
      <c r="E56" t="s">
        <v>15</v>
      </c>
      <c r="F56" t="s">
        <v>17</v>
      </c>
      <c r="G56">
        <v>73</v>
      </c>
      <c r="H56" t="s">
        <v>18</v>
      </c>
      <c r="I56" t="s">
        <v>19</v>
      </c>
      <c r="J56">
        <v>52</v>
      </c>
      <c r="K56" t="s">
        <v>20</v>
      </c>
      <c r="L56">
        <v>56.7</v>
      </c>
      <c r="M56" t="s">
        <v>21</v>
      </c>
      <c r="N56">
        <v>250000</v>
      </c>
    </row>
    <row r="57" spans="1:14" x14ac:dyDescent="0.25">
      <c r="A57" t="s">
        <v>14</v>
      </c>
      <c r="B57">
        <v>64</v>
      </c>
      <c r="C57" t="s">
        <v>15</v>
      </c>
      <c r="D57">
        <v>67</v>
      </c>
      <c r="E57" t="s">
        <v>16</v>
      </c>
      <c r="F57" t="s">
        <v>24</v>
      </c>
      <c r="G57">
        <v>69.599999999999994</v>
      </c>
      <c r="H57" t="s">
        <v>26</v>
      </c>
      <c r="I57" t="s">
        <v>23</v>
      </c>
      <c r="J57">
        <v>55.67</v>
      </c>
      <c r="K57" t="s">
        <v>20</v>
      </c>
      <c r="L57">
        <v>71.489999999999995</v>
      </c>
      <c r="M57" t="s">
        <v>21</v>
      </c>
      <c r="N57">
        <v>250000</v>
      </c>
    </row>
    <row r="58" spans="1:14" x14ac:dyDescent="0.25">
      <c r="A58" t="s">
        <v>14</v>
      </c>
      <c r="B58">
        <v>69.5</v>
      </c>
      <c r="C58" t="s">
        <v>15</v>
      </c>
      <c r="D58">
        <v>70</v>
      </c>
      <c r="E58" t="s">
        <v>15</v>
      </c>
      <c r="F58" t="s">
        <v>24</v>
      </c>
      <c r="G58">
        <v>72</v>
      </c>
      <c r="H58" t="s">
        <v>26</v>
      </c>
      <c r="I58" t="s">
        <v>19</v>
      </c>
      <c r="J58">
        <v>57.2</v>
      </c>
      <c r="K58" t="s">
        <v>20</v>
      </c>
      <c r="L58">
        <v>54.8</v>
      </c>
      <c r="M58" t="s">
        <v>21</v>
      </c>
      <c r="N58">
        <v>250000</v>
      </c>
    </row>
    <row r="59" spans="1:14" x14ac:dyDescent="0.25">
      <c r="A59" t="s">
        <v>14</v>
      </c>
      <c r="B59">
        <v>72</v>
      </c>
      <c r="C59" t="s">
        <v>16</v>
      </c>
      <c r="D59">
        <v>60</v>
      </c>
      <c r="E59" t="s">
        <v>16</v>
      </c>
      <c r="F59" t="s">
        <v>24</v>
      </c>
      <c r="G59">
        <v>69</v>
      </c>
      <c r="H59" t="s">
        <v>18</v>
      </c>
      <c r="I59" t="s">
        <v>19</v>
      </c>
      <c r="J59">
        <v>55.5</v>
      </c>
      <c r="K59" t="s">
        <v>20</v>
      </c>
      <c r="L59">
        <v>58.4</v>
      </c>
      <c r="M59" t="s">
        <v>21</v>
      </c>
      <c r="N59">
        <v>250000</v>
      </c>
    </row>
    <row r="60" spans="1:14" x14ac:dyDescent="0.25">
      <c r="A60" t="s">
        <v>27</v>
      </c>
      <c r="B60">
        <v>58</v>
      </c>
      <c r="C60" t="s">
        <v>16</v>
      </c>
      <c r="D60">
        <v>61</v>
      </c>
      <c r="E60" t="s">
        <v>16</v>
      </c>
      <c r="F60" t="s">
        <v>17</v>
      </c>
      <c r="G60">
        <v>61</v>
      </c>
      <c r="H60" t="s">
        <v>18</v>
      </c>
      <c r="I60" t="s">
        <v>19</v>
      </c>
      <c r="J60">
        <v>58</v>
      </c>
      <c r="K60" t="s">
        <v>20</v>
      </c>
      <c r="L60">
        <v>53.94</v>
      </c>
      <c r="M60" t="s">
        <v>21</v>
      </c>
      <c r="N60">
        <v>250000</v>
      </c>
    </row>
    <row r="61" spans="1:14" x14ac:dyDescent="0.25">
      <c r="A61" t="s">
        <v>27</v>
      </c>
      <c r="B61">
        <v>65</v>
      </c>
      <c r="C61" t="s">
        <v>15</v>
      </c>
      <c r="D61">
        <v>68</v>
      </c>
      <c r="E61" t="s">
        <v>16</v>
      </c>
      <c r="F61" t="s">
        <v>24</v>
      </c>
      <c r="G61">
        <v>69</v>
      </c>
      <c r="H61" t="s">
        <v>18</v>
      </c>
      <c r="I61" t="s">
        <v>19</v>
      </c>
      <c r="J61">
        <v>53.7</v>
      </c>
      <c r="K61" t="s">
        <v>20</v>
      </c>
      <c r="L61">
        <v>55.01</v>
      </c>
      <c r="M61" t="s">
        <v>21</v>
      </c>
      <c r="N61">
        <v>250000</v>
      </c>
    </row>
    <row r="62" spans="1:14" x14ac:dyDescent="0.25">
      <c r="A62" t="s">
        <v>27</v>
      </c>
      <c r="B62">
        <v>67</v>
      </c>
      <c r="C62" t="s">
        <v>15</v>
      </c>
      <c r="D62">
        <v>71</v>
      </c>
      <c r="E62" t="s">
        <v>15</v>
      </c>
      <c r="F62" t="s">
        <v>24</v>
      </c>
      <c r="G62">
        <v>64.33</v>
      </c>
      <c r="H62" t="s">
        <v>16</v>
      </c>
      <c r="I62" t="s">
        <v>23</v>
      </c>
      <c r="J62">
        <v>64</v>
      </c>
      <c r="K62" t="s">
        <v>20</v>
      </c>
      <c r="L62">
        <v>61.26</v>
      </c>
      <c r="M62" t="s">
        <v>21</v>
      </c>
      <c r="N62">
        <v>250000</v>
      </c>
    </row>
    <row r="63" spans="1:14" x14ac:dyDescent="0.25">
      <c r="A63" t="s">
        <v>27</v>
      </c>
      <c r="B63">
        <v>73</v>
      </c>
      <c r="C63" t="s">
        <v>15</v>
      </c>
      <c r="D63">
        <v>64</v>
      </c>
      <c r="E63" t="s">
        <v>16</v>
      </c>
      <c r="F63" t="s">
        <v>17</v>
      </c>
      <c r="G63">
        <v>77</v>
      </c>
      <c r="H63" t="s">
        <v>18</v>
      </c>
      <c r="I63" t="s">
        <v>23</v>
      </c>
      <c r="J63">
        <v>65</v>
      </c>
      <c r="K63" t="s">
        <v>20</v>
      </c>
      <c r="L63">
        <v>60.98</v>
      </c>
      <c r="M63" t="s">
        <v>21</v>
      </c>
      <c r="N63">
        <v>250000</v>
      </c>
    </row>
    <row r="64" spans="1:14" x14ac:dyDescent="0.25">
      <c r="A64" t="s">
        <v>27</v>
      </c>
      <c r="B64">
        <v>82</v>
      </c>
      <c r="C64" t="s">
        <v>15</v>
      </c>
      <c r="D64">
        <v>64</v>
      </c>
      <c r="E64" t="s">
        <v>15</v>
      </c>
      <c r="F64" t="s">
        <v>24</v>
      </c>
      <c r="G64">
        <v>66</v>
      </c>
      <c r="H64" t="s">
        <v>26</v>
      </c>
      <c r="I64" t="s">
        <v>23</v>
      </c>
      <c r="J64">
        <v>67</v>
      </c>
      <c r="K64" t="s">
        <v>25</v>
      </c>
      <c r="L64">
        <v>62.14</v>
      </c>
      <c r="M64" t="s">
        <v>21</v>
      </c>
      <c r="N64">
        <v>252000</v>
      </c>
    </row>
    <row r="65" spans="1:14" x14ac:dyDescent="0.25">
      <c r="A65" t="s">
        <v>14</v>
      </c>
      <c r="B65">
        <v>88</v>
      </c>
      <c r="C65" t="s">
        <v>15</v>
      </c>
      <c r="D65">
        <v>72</v>
      </c>
      <c r="E65" t="s">
        <v>15</v>
      </c>
      <c r="F65" t="s">
        <v>24</v>
      </c>
      <c r="G65">
        <v>78</v>
      </c>
      <c r="H65" t="s">
        <v>16</v>
      </c>
      <c r="I65" t="s">
        <v>19</v>
      </c>
      <c r="J65">
        <v>82</v>
      </c>
      <c r="K65" t="s">
        <v>20</v>
      </c>
      <c r="L65">
        <v>71.430000000000007</v>
      </c>
      <c r="M65" t="s">
        <v>21</v>
      </c>
      <c r="N65">
        <v>252000</v>
      </c>
    </row>
    <row r="66" spans="1:14" x14ac:dyDescent="0.25">
      <c r="A66" t="s">
        <v>27</v>
      </c>
      <c r="B66">
        <v>84.2</v>
      </c>
      <c r="C66" t="s">
        <v>15</v>
      </c>
      <c r="D66">
        <v>69.400000000000006</v>
      </c>
      <c r="E66" t="s">
        <v>15</v>
      </c>
      <c r="F66" t="s">
        <v>24</v>
      </c>
      <c r="G66">
        <v>65</v>
      </c>
      <c r="H66" t="s">
        <v>26</v>
      </c>
      <c r="I66" t="s">
        <v>23</v>
      </c>
      <c r="J66">
        <v>80</v>
      </c>
      <c r="K66" t="s">
        <v>20</v>
      </c>
      <c r="L66">
        <v>52.72</v>
      </c>
      <c r="M66" t="s">
        <v>21</v>
      </c>
      <c r="N66">
        <v>255000</v>
      </c>
    </row>
    <row r="67" spans="1:14" x14ac:dyDescent="0.25">
      <c r="A67" t="s">
        <v>14</v>
      </c>
      <c r="B67">
        <v>87</v>
      </c>
      <c r="C67" t="s">
        <v>16</v>
      </c>
      <c r="D67">
        <v>65</v>
      </c>
      <c r="E67" t="s">
        <v>16</v>
      </c>
      <c r="F67" t="s">
        <v>24</v>
      </c>
      <c r="G67">
        <v>81</v>
      </c>
      <c r="H67" t="s">
        <v>18</v>
      </c>
      <c r="I67" t="s">
        <v>23</v>
      </c>
      <c r="J67">
        <v>88</v>
      </c>
      <c r="K67" t="s">
        <v>25</v>
      </c>
      <c r="L67">
        <v>72.78</v>
      </c>
      <c r="M67" t="s">
        <v>21</v>
      </c>
      <c r="N67">
        <v>260000</v>
      </c>
    </row>
    <row r="68" spans="1:14" x14ac:dyDescent="0.25">
      <c r="A68" t="s">
        <v>27</v>
      </c>
      <c r="B68">
        <v>58</v>
      </c>
      <c r="C68" t="s">
        <v>15</v>
      </c>
      <c r="D68">
        <v>62</v>
      </c>
      <c r="E68" t="s">
        <v>15</v>
      </c>
      <c r="F68" t="s">
        <v>17</v>
      </c>
      <c r="G68">
        <v>64</v>
      </c>
      <c r="H68" t="s">
        <v>18</v>
      </c>
      <c r="I68" t="s">
        <v>19</v>
      </c>
      <c r="J68">
        <v>53.88</v>
      </c>
      <c r="K68" t="s">
        <v>25</v>
      </c>
      <c r="L68">
        <v>54.97</v>
      </c>
      <c r="M68" t="s">
        <v>21</v>
      </c>
      <c r="N68">
        <v>260000</v>
      </c>
    </row>
    <row r="69" spans="1:14" x14ac:dyDescent="0.25">
      <c r="A69" t="s">
        <v>27</v>
      </c>
      <c r="B69">
        <v>74</v>
      </c>
      <c r="C69" t="s">
        <v>15</v>
      </c>
      <c r="D69">
        <v>70</v>
      </c>
      <c r="E69" t="s">
        <v>15</v>
      </c>
      <c r="F69" t="s">
        <v>24</v>
      </c>
      <c r="G69">
        <v>72</v>
      </c>
      <c r="H69" t="s">
        <v>18</v>
      </c>
      <c r="I69" t="s">
        <v>23</v>
      </c>
      <c r="J69">
        <v>60</v>
      </c>
      <c r="K69" t="s">
        <v>25</v>
      </c>
      <c r="L69">
        <v>57.24</v>
      </c>
      <c r="M69" t="s">
        <v>21</v>
      </c>
      <c r="N69">
        <v>260000</v>
      </c>
    </row>
    <row r="70" spans="1:14" x14ac:dyDescent="0.25">
      <c r="A70" t="s">
        <v>27</v>
      </c>
      <c r="B70">
        <v>85</v>
      </c>
      <c r="C70" t="s">
        <v>15</v>
      </c>
      <c r="D70">
        <v>60</v>
      </c>
      <c r="E70" t="s">
        <v>16</v>
      </c>
      <c r="F70" t="s">
        <v>24</v>
      </c>
      <c r="G70">
        <v>73.430000000000007</v>
      </c>
      <c r="H70" t="s">
        <v>26</v>
      </c>
      <c r="I70" t="s">
        <v>23</v>
      </c>
      <c r="J70">
        <v>60</v>
      </c>
      <c r="K70" t="s">
        <v>25</v>
      </c>
      <c r="L70">
        <v>61.29</v>
      </c>
      <c r="M70" t="s">
        <v>21</v>
      </c>
      <c r="N70">
        <v>260000</v>
      </c>
    </row>
    <row r="71" spans="1:14" x14ac:dyDescent="0.25">
      <c r="A71" t="s">
        <v>14</v>
      </c>
      <c r="B71">
        <v>83.96</v>
      </c>
      <c r="C71" t="s">
        <v>16</v>
      </c>
      <c r="D71">
        <v>53</v>
      </c>
      <c r="E71" t="s">
        <v>16</v>
      </c>
      <c r="F71" t="s">
        <v>24</v>
      </c>
      <c r="G71">
        <v>91</v>
      </c>
      <c r="H71" t="s">
        <v>26</v>
      </c>
      <c r="I71" t="s">
        <v>19</v>
      </c>
      <c r="J71">
        <v>59.32</v>
      </c>
      <c r="K71" t="s">
        <v>20</v>
      </c>
      <c r="L71">
        <v>69.709999999999994</v>
      </c>
      <c r="M71" t="s">
        <v>21</v>
      </c>
      <c r="N71">
        <v>260000</v>
      </c>
    </row>
    <row r="72" spans="1:14" x14ac:dyDescent="0.25">
      <c r="A72" t="s">
        <v>27</v>
      </c>
      <c r="B72">
        <v>55.68</v>
      </c>
      <c r="C72" t="s">
        <v>16</v>
      </c>
      <c r="D72">
        <v>61.33</v>
      </c>
      <c r="E72" t="s">
        <v>16</v>
      </c>
      <c r="F72" t="s">
        <v>17</v>
      </c>
      <c r="G72">
        <v>56.87</v>
      </c>
      <c r="H72" t="s">
        <v>18</v>
      </c>
      <c r="I72" t="s">
        <v>19</v>
      </c>
      <c r="J72">
        <v>66</v>
      </c>
      <c r="K72" t="s">
        <v>20</v>
      </c>
      <c r="L72">
        <v>58.3</v>
      </c>
      <c r="M72" t="s">
        <v>21</v>
      </c>
      <c r="N72">
        <v>260000</v>
      </c>
    </row>
    <row r="73" spans="1:14" x14ac:dyDescent="0.25">
      <c r="A73" t="s">
        <v>27</v>
      </c>
      <c r="B73">
        <v>58</v>
      </c>
      <c r="C73" t="s">
        <v>15</v>
      </c>
      <c r="D73">
        <v>61</v>
      </c>
      <c r="E73" t="s">
        <v>15</v>
      </c>
      <c r="F73" t="s">
        <v>17</v>
      </c>
      <c r="G73">
        <v>60</v>
      </c>
      <c r="H73" t="s">
        <v>18</v>
      </c>
      <c r="I73" t="s">
        <v>23</v>
      </c>
      <c r="J73">
        <v>62</v>
      </c>
      <c r="K73" t="s">
        <v>20</v>
      </c>
      <c r="L73">
        <v>60.85</v>
      </c>
      <c r="M73" t="s">
        <v>21</v>
      </c>
      <c r="N73">
        <v>260000</v>
      </c>
    </row>
    <row r="74" spans="1:14" x14ac:dyDescent="0.25">
      <c r="A74" t="s">
        <v>27</v>
      </c>
      <c r="B74">
        <v>67</v>
      </c>
      <c r="C74" t="s">
        <v>16</v>
      </c>
      <c r="D74">
        <v>61</v>
      </c>
      <c r="E74" t="s">
        <v>15</v>
      </c>
      <c r="F74" t="s">
        <v>24</v>
      </c>
      <c r="G74">
        <v>72</v>
      </c>
      <c r="H74" t="s">
        <v>18</v>
      </c>
      <c r="I74" t="s">
        <v>19</v>
      </c>
      <c r="J74">
        <v>72</v>
      </c>
      <c r="K74" t="s">
        <v>25</v>
      </c>
      <c r="L74">
        <v>61.01</v>
      </c>
      <c r="M74" t="s">
        <v>21</v>
      </c>
      <c r="N74">
        <v>264000</v>
      </c>
    </row>
    <row r="75" spans="1:14" x14ac:dyDescent="0.25">
      <c r="A75" t="s">
        <v>27</v>
      </c>
      <c r="B75">
        <v>52.6</v>
      </c>
      <c r="C75" t="s">
        <v>15</v>
      </c>
      <c r="D75">
        <v>65.58</v>
      </c>
      <c r="E75" t="s">
        <v>16</v>
      </c>
      <c r="F75" t="s">
        <v>24</v>
      </c>
      <c r="G75">
        <v>72.11</v>
      </c>
      <c r="H75" t="s">
        <v>26</v>
      </c>
      <c r="I75" t="s">
        <v>19</v>
      </c>
      <c r="J75">
        <v>57.6</v>
      </c>
      <c r="K75" t="s">
        <v>25</v>
      </c>
      <c r="L75">
        <v>56.66</v>
      </c>
      <c r="M75" t="s">
        <v>21</v>
      </c>
      <c r="N75">
        <v>265000</v>
      </c>
    </row>
    <row r="76" spans="1:14" x14ac:dyDescent="0.25">
      <c r="A76" t="s">
        <v>27</v>
      </c>
      <c r="B76">
        <v>65</v>
      </c>
      <c r="C76" t="s">
        <v>15</v>
      </c>
      <c r="D76">
        <v>64.8</v>
      </c>
      <c r="E76" t="s">
        <v>16</v>
      </c>
      <c r="F76" t="s">
        <v>17</v>
      </c>
      <c r="G76">
        <v>69.5</v>
      </c>
      <c r="H76" t="s">
        <v>18</v>
      </c>
      <c r="I76" t="s">
        <v>23</v>
      </c>
      <c r="J76">
        <v>56</v>
      </c>
      <c r="K76" t="s">
        <v>25</v>
      </c>
      <c r="L76">
        <v>56.94</v>
      </c>
      <c r="M76" t="s">
        <v>21</v>
      </c>
      <c r="N76">
        <v>265000</v>
      </c>
    </row>
    <row r="77" spans="1:14" x14ac:dyDescent="0.25">
      <c r="A77" t="s">
        <v>27</v>
      </c>
      <c r="B77">
        <v>65</v>
      </c>
      <c r="C77" t="s">
        <v>15</v>
      </c>
      <c r="D77">
        <v>71.5</v>
      </c>
      <c r="E77" t="s">
        <v>16</v>
      </c>
      <c r="F77" t="s">
        <v>17</v>
      </c>
      <c r="G77">
        <v>62.8</v>
      </c>
      <c r="H77" t="s">
        <v>18</v>
      </c>
      <c r="I77" t="s">
        <v>23</v>
      </c>
      <c r="J77">
        <v>57</v>
      </c>
      <c r="K77" t="s">
        <v>25</v>
      </c>
      <c r="L77">
        <v>56.6</v>
      </c>
      <c r="M77" t="s">
        <v>21</v>
      </c>
      <c r="N77">
        <v>265000</v>
      </c>
    </row>
    <row r="78" spans="1:14" x14ac:dyDescent="0.25">
      <c r="A78" t="s">
        <v>27</v>
      </c>
      <c r="B78">
        <v>62</v>
      </c>
      <c r="C78" t="s">
        <v>16</v>
      </c>
      <c r="D78">
        <v>65</v>
      </c>
      <c r="E78" t="s">
        <v>16</v>
      </c>
      <c r="F78" t="s">
        <v>17</v>
      </c>
      <c r="G78">
        <v>66</v>
      </c>
      <c r="H78" t="s">
        <v>18</v>
      </c>
      <c r="I78" t="s">
        <v>19</v>
      </c>
      <c r="J78">
        <v>50</v>
      </c>
      <c r="K78" t="s">
        <v>20</v>
      </c>
      <c r="L78">
        <v>56.7</v>
      </c>
      <c r="M78" t="s">
        <v>21</v>
      </c>
      <c r="N78">
        <v>265000</v>
      </c>
    </row>
    <row r="79" spans="1:14" x14ac:dyDescent="0.25">
      <c r="A79" t="s">
        <v>27</v>
      </c>
      <c r="B79">
        <v>63</v>
      </c>
      <c r="C79" t="s">
        <v>16</v>
      </c>
      <c r="D79">
        <v>67</v>
      </c>
      <c r="E79" t="s">
        <v>16</v>
      </c>
      <c r="F79" t="s">
        <v>17</v>
      </c>
      <c r="G79">
        <v>66</v>
      </c>
      <c r="H79" t="s">
        <v>18</v>
      </c>
      <c r="I79" t="s">
        <v>19</v>
      </c>
      <c r="J79">
        <v>68</v>
      </c>
      <c r="K79" t="s">
        <v>20</v>
      </c>
      <c r="L79">
        <v>57.69</v>
      </c>
      <c r="M79" t="s">
        <v>21</v>
      </c>
      <c r="N79">
        <v>265000</v>
      </c>
    </row>
    <row r="80" spans="1:14" x14ac:dyDescent="0.25">
      <c r="A80" t="s">
        <v>27</v>
      </c>
      <c r="B80">
        <v>69</v>
      </c>
      <c r="C80" t="s">
        <v>16</v>
      </c>
      <c r="D80">
        <v>65</v>
      </c>
      <c r="E80" t="s">
        <v>16</v>
      </c>
      <c r="F80" t="s">
        <v>17</v>
      </c>
      <c r="G80">
        <v>57</v>
      </c>
      <c r="H80" t="s">
        <v>18</v>
      </c>
      <c r="I80" t="s">
        <v>19</v>
      </c>
      <c r="J80">
        <v>73</v>
      </c>
      <c r="K80" t="s">
        <v>20</v>
      </c>
      <c r="L80">
        <v>55.8</v>
      </c>
      <c r="M80" t="s">
        <v>21</v>
      </c>
      <c r="N80">
        <v>265000</v>
      </c>
    </row>
    <row r="81" spans="1:14" x14ac:dyDescent="0.25">
      <c r="A81" t="s">
        <v>27</v>
      </c>
      <c r="B81">
        <v>74</v>
      </c>
      <c r="C81" t="s">
        <v>15</v>
      </c>
      <c r="D81">
        <v>62</v>
      </c>
      <c r="E81" t="s">
        <v>16</v>
      </c>
      <c r="F81" t="s">
        <v>24</v>
      </c>
      <c r="G81">
        <v>68</v>
      </c>
      <c r="H81" t="s">
        <v>18</v>
      </c>
      <c r="I81" t="s">
        <v>19</v>
      </c>
      <c r="J81">
        <v>74</v>
      </c>
      <c r="K81" t="s">
        <v>25</v>
      </c>
      <c r="L81">
        <v>57.99</v>
      </c>
      <c r="M81" t="s">
        <v>21</v>
      </c>
      <c r="N81">
        <v>268000</v>
      </c>
    </row>
    <row r="82" spans="1:14" x14ac:dyDescent="0.25">
      <c r="A82" t="s">
        <v>27</v>
      </c>
      <c r="B82">
        <v>65</v>
      </c>
      <c r="C82" t="s">
        <v>15</v>
      </c>
      <c r="D82">
        <v>65</v>
      </c>
      <c r="E82" t="s">
        <v>15</v>
      </c>
      <c r="F82" t="s">
        <v>17</v>
      </c>
      <c r="G82">
        <v>75</v>
      </c>
      <c r="H82" t="s">
        <v>18</v>
      </c>
      <c r="I82" t="s">
        <v>19</v>
      </c>
      <c r="J82">
        <v>83</v>
      </c>
      <c r="K82" t="s">
        <v>25</v>
      </c>
      <c r="L82">
        <v>58.87</v>
      </c>
      <c r="M82" t="s">
        <v>21</v>
      </c>
      <c r="N82">
        <v>270000</v>
      </c>
    </row>
    <row r="83" spans="1:14" x14ac:dyDescent="0.25">
      <c r="A83" t="s">
        <v>27</v>
      </c>
      <c r="B83">
        <v>65.2</v>
      </c>
      <c r="C83" t="s">
        <v>15</v>
      </c>
      <c r="D83">
        <v>61.4</v>
      </c>
      <c r="E83" t="s">
        <v>15</v>
      </c>
      <c r="F83" t="s">
        <v>17</v>
      </c>
      <c r="G83">
        <v>64.8</v>
      </c>
      <c r="H83" t="s">
        <v>18</v>
      </c>
      <c r="I83" t="s">
        <v>23</v>
      </c>
      <c r="J83">
        <v>93.4</v>
      </c>
      <c r="K83" t="s">
        <v>25</v>
      </c>
      <c r="L83">
        <v>57.34</v>
      </c>
      <c r="M83" t="s">
        <v>21</v>
      </c>
      <c r="N83">
        <v>270000</v>
      </c>
    </row>
    <row r="84" spans="1:14" x14ac:dyDescent="0.25">
      <c r="A84" t="s">
        <v>27</v>
      </c>
      <c r="B84">
        <v>84</v>
      </c>
      <c r="C84" t="s">
        <v>16</v>
      </c>
      <c r="D84">
        <v>90.9</v>
      </c>
      <c r="E84" t="s">
        <v>16</v>
      </c>
      <c r="F84" t="s">
        <v>24</v>
      </c>
      <c r="G84">
        <v>64.5</v>
      </c>
      <c r="H84" t="s">
        <v>26</v>
      </c>
      <c r="I84" t="s">
        <v>19</v>
      </c>
      <c r="J84">
        <v>86.04</v>
      </c>
      <c r="K84" t="s">
        <v>25</v>
      </c>
      <c r="L84">
        <v>59.42</v>
      </c>
      <c r="M84" t="s">
        <v>21</v>
      </c>
      <c r="N84">
        <v>270000</v>
      </c>
    </row>
    <row r="85" spans="1:14" x14ac:dyDescent="0.25">
      <c r="A85" t="s">
        <v>27</v>
      </c>
      <c r="B85">
        <v>67</v>
      </c>
      <c r="C85" t="s">
        <v>16</v>
      </c>
      <c r="D85">
        <v>91</v>
      </c>
      <c r="E85" t="s">
        <v>16</v>
      </c>
      <c r="F85" t="s">
        <v>17</v>
      </c>
      <c r="G85">
        <v>58</v>
      </c>
      <c r="H85" t="s">
        <v>26</v>
      </c>
      <c r="I85" t="s">
        <v>19</v>
      </c>
      <c r="J85">
        <v>55</v>
      </c>
      <c r="K85" t="s">
        <v>20</v>
      </c>
      <c r="L85">
        <v>58.8</v>
      </c>
      <c r="M85" t="s">
        <v>21</v>
      </c>
      <c r="N85">
        <v>270000</v>
      </c>
    </row>
    <row r="86" spans="1:14" x14ac:dyDescent="0.25">
      <c r="A86" t="s">
        <v>27</v>
      </c>
      <c r="B86">
        <v>58</v>
      </c>
      <c r="C86" t="s">
        <v>16</v>
      </c>
      <c r="D86">
        <v>60</v>
      </c>
      <c r="E86" t="s">
        <v>16</v>
      </c>
      <c r="F86" t="s">
        <v>24</v>
      </c>
      <c r="G86">
        <v>72</v>
      </c>
      <c r="H86" t="s">
        <v>26</v>
      </c>
      <c r="I86" t="s">
        <v>19</v>
      </c>
      <c r="J86">
        <v>74</v>
      </c>
      <c r="K86" t="s">
        <v>25</v>
      </c>
      <c r="L86">
        <v>53.62</v>
      </c>
      <c r="M86" t="s">
        <v>21</v>
      </c>
      <c r="N86">
        <v>275000</v>
      </c>
    </row>
    <row r="87" spans="1:14" x14ac:dyDescent="0.25">
      <c r="A87" t="s">
        <v>27</v>
      </c>
      <c r="B87">
        <v>73</v>
      </c>
      <c r="C87" t="s">
        <v>15</v>
      </c>
      <c r="D87">
        <v>73</v>
      </c>
      <c r="E87" t="s">
        <v>15</v>
      </c>
      <c r="F87" t="s">
        <v>24</v>
      </c>
      <c r="G87">
        <v>66</v>
      </c>
      <c r="H87" t="s">
        <v>26</v>
      </c>
      <c r="I87" t="s">
        <v>23</v>
      </c>
      <c r="J87">
        <v>70</v>
      </c>
      <c r="K87" t="s">
        <v>25</v>
      </c>
      <c r="L87">
        <v>68.069999999999993</v>
      </c>
      <c r="M87" t="s">
        <v>21</v>
      </c>
      <c r="N87">
        <v>275000</v>
      </c>
    </row>
    <row r="88" spans="1:14" x14ac:dyDescent="0.25">
      <c r="A88" t="s">
        <v>27</v>
      </c>
      <c r="B88">
        <v>80.92</v>
      </c>
      <c r="C88" t="s">
        <v>16</v>
      </c>
      <c r="D88">
        <v>78.5</v>
      </c>
      <c r="E88" t="s">
        <v>16</v>
      </c>
      <c r="F88" t="s">
        <v>17</v>
      </c>
      <c r="G88">
        <v>67</v>
      </c>
      <c r="H88" t="s">
        <v>18</v>
      </c>
      <c r="I88" t="s">
        <v>19</v>
      </c>
      <c r="J88">
        <v>68.709999999999994</v>
      </c>
      <c r="K88" t="s">
        <v>25</v>
      </c>
      <c r="L88">
        <v>60.99</v>
      </c>
      <c r="M88" t="s">
        <v>21</v>
      </c>
      <c r="N88">
        <v>275000</v>
      </c>
    </row>
    <row r="89" spans="1:14" x14ac:dyDescent="0.25">
      <c r="A89" t="s">
        <v>27</v>
      </c>
      <c r="B89">
        <v>66</v>
      </c>
      <c r="C89" t="s">
        <v>15</v>
      </c>
      <c r="D89">
        <v>76</v>
      </c>
      <c r="E89" t="s">
        <v>15</v>
      </c>
      <c r="F89" t="s">
        <v>17</v>
      </c>
      <c r="G89">
        <v>72</v>
      </c>
      <c r="H89" t="s">
        <v>18</v>
      </c>
      <c r="I89" t="s">
        <v>23</v>
      </c>
      <c r="J89">
        <v>84</v>
      </c>
      <c r="K89" t="s">
        <v>20</v>
      </c>
      <c r="L89">
        <v>58.95</v>
      </c>
      <c r="M89" t="s">
        <v>21</v>
      </c>
      <c r="N89">
        <v>275000</v>
      </c>
    </row>
    <row r="90" spans="1:14" x14ac:dyDescent="0.25">
      <c r="A90" t="s">
        <v>27</v>
      </c>
      <c r="B90">
        <v>83</v>
      </c>
      <c r="C90" t="s">
        <v>16</v>
      </c>
      <c r="D90">
        <v>74</v>
      </c>
      <c r="E90" t="s">
        <v>16</v>
      </c>
      <c r="F90" t="s">
        <v>24</v>
      </c>
      <c r="G90">
        <v>66</v>
      </c>
      <c r="H90" t="s">
        <v>18</v>
      </c>
      <c r="I90" t="s">
        <v>19</v>
      </c>
      <c r="J90">
        <v>68.92</v>
      </c>
      <c r="K90" t="s">
        <v>20</v>
      </c>
      <c r="L90">
        <v>58.46</v>
      </c>
      <c r="M90" t="s">
        <v>21</v>
      </c>
      <c r="N90">
        <v>275000</v>
      </c>
    </row>
    <row r="91" spans="1:14" x14ac:dyDescent="0.25">
      <c r="A91" t="s">
        <v>27</v>
      </c>
      <c r="B91">
        <v>65</v>
      </c>
      <c r="C91" t="s">
        <v>15</v>
      </c>
      <c r="D91">
        <v>77</v>
      </c>
      <c r="E91" t="s">
        <v>15</v>
      </c>
      <c r="F91" t="s">
        <v>17</v>
      </c>
      <c r="G91">
        <v>69</v>
      </c>
      <c r="H91" t="s">
        <v>18</v>
      </c>
      <c r="I91" t="s">
        <v>19</v>
      </c>
      <c r="J91">
        <v>60</v>
      </c>
      <c r="K91" t="s">
        <v>20</v>
      </c>
      <c r="L91">
        <v>61.82</v>
      </c>
      <c r="M91" t="s">
        <v>21</v>
      </c>
      <c r="N91">
        <v>276000</v>
      </c>
    </row>
    <row r="92" spans="1:14" x14ac:dyDescent="0.25">
      <c r="A92" t="s">
        <v>27</v>
      </c>
      <c r="B92">
        <v>76</v>
      </c>
      <c r="C92" t="s">
        <v>15</v>
      </c>
      <c r="D92">
        <v>80</v>
      </c>
      <c r="E92" t="s">
        <v>15</v>
      </c>
      <c r="F92" t="s">
        <v>24</v>
      </c>
      <c r="G92">
        <v>78</v>
      </c>
      <c r="H92" t="s">
        <v>26</v>
      </c>
      <c r="I92" t="s">
        <v>23</v>
      </c>
      <c r="J92">
        <v>97</v>
      </c>
      <c r="K92" t="s">
        <v>20</v>
      </c>
      <c r="L92">
        <v>70.48</v>
      </c>
      <c r="M92" t="s">
        <v>21</v>
      </c>
      <c r="N92">
        <v>276000</v>
      </c>
    </row>
    <row r="93" spans="1:14" x14ac:dyDescent="0.25">
      <c r="A93" t="s">
        <v>14</v>
      </c>
      <c r="B93">
        <v>61</v>
      </c>
      <c r="C93" t="s">
        <v>15</v>
      </c>
      <c r="D93">
        <v>81</v>
      </c>
      <c r="E93" t="s">
        <v>15</v>
      </c>
      <c r="F93" t="s">
        <v>17</v>
      </c>
      <c r="G93">
        <v>66.400000000000006</v>
      </c>
      <c r="H93" t="s">
        <v>18</v>
      </c>
      <c r="I93" t="s">
        <v>19</v>
      </c>
      <c r="J93">
        <v>50.89</v>
      </c>
      <c r="K93" t="s">
        <v>20</v>
      </c>
      <c r="L93">
        <v>62.21</v>
      </c>
      <c r="M93" t="s">
        <v>21</v>
      </c>
      <c r="N93">
        <v>278000</v>
      </c>
    </row>
    <row r="94" spans="1:14" x14ac:dyDescent="0.25">
      <c r="A94" t="s">
        <v>14</v>
      </c>
      <c r="B94">
        <v>73.959999999999994</v>
      </c>
      <c r="C94" t="s">
        <v>16</v>
      </c>
      <c r="D94">
        <v>79</v>
      </c>
      <c r="E94" t="s">
        <v>16</v>
      </c>
      <c r="F94" t="s">
        <v>17</v>
      </c>
      <c r="G94">
        <v>67</v>
      </c>
      <c r="H94" t="s">
        <v>18</v>
      </c>
      <c r="I94" t="s">
        <v>19</v>
      </c>
      <c r="J94">
        <v>72.150000000000006</v>
      </c>
      <c r="K94" t="s">
        <v>25</v>
      </c>
      <c r="L94">
        <v>63.08</v>
      </c>
      <c r="M94" t="s">
        <v>21</v>
      </c>
      <c r="N94">
        <v>280000</v>
      </c>
    </row>
    <row r="95" spans="1:14" x14ac:dyDescent="0.25">
      <c r="A95" t="s">
        <v>27</v>
      </c>
      <c r="B95">
        <v>78.5</v>
      </c>
      <c r="C95" t="s">
        <v>15</v>
      </c>
      <c r="D95">
        <v>65.5</v>
      </c>
      <c r="E95" t="s">
        <v>15</v>
      </c>
      <c r="F95" t="s">
        <v>24</v>
      </c>
      <c r="G95">
        <v>67</v>
      </c>
      <c r="H95" t="s">
        <v>26</v>
      </c>
      <c r="I95" t="s">
        <v>23</v>
      </c>
      <c r="J95">
        <v>95</v>
      </c>
      <c r="K95" t="s">
        <v>25</v>
      </c>
      <c r="L95">
        <v>64.86</v>
      </c>
      <c r="M95" t="s">
        <v>21</v>
      </c>
      <c r="N95">
        <v>280000</v>
      </c>
    </row>
    <row r="96" spans="1:14" x14ac:dyDescent="0.25">
      <c r="A96" t="s">
        <v>27</v>
      </c>
      <c r="B96">
        <v>74.2</v>
      </c>
      <c r="C96" t="s">
        <v>15</v>
      </c>
      <c r="D96">
        <v>87.6</v>
      </c>
      <c r="E96" t="s">
        <v>16</v>
      </c>
      <c r="F96" t="s">
        <v>17</v>
      </c>
      <c r="G96">
        <v>77.25</v>
      </c>
      <c r="H96" t="s">
        <v>18</v>
      </c>
      <c r="I96" t="s">
        <v>23</v>
      </c>
      <c r="J96">
        <v>75.2</v>
      </c>
      <c r="K96" t="s">
        <v>25</v>
      </c>
      <c r="L96">
        <v>66.06</v>
      </c>
      <c r="M96" t="s">
        <v>21</v>
      </c>
      <c r="N96">
        <v>285000</v>
      </c>
    </row>
    <row r="97" spans="1:14" x14ac:dyDescent="0.25">
      <c r="A97" t="s">
        <v>14</v>
      </c>
      <c r="B97">
        <v>78</v>
      </c>
      <c r="C97" t="s">
        <v>15</v>
      </c>
      <c r="D97">
        <v>77</v>
      </c>
      <c r="E97" t="s">
        <v>16</v>
      </c>
      <c r="F97" t="s">
        <v>17</v>
      </c>
      <c r="G97">
        <v>80</v>
      </c>
      <c r="H97" t="s">
        <v>18</v>
      </c>
      <c r="I97" t="s">
        <v>19</v>
      </c>
      <c r="J97">
        <v>60</v>
      </c>
      <c r="K97" t="s">
        <v>25</v>
      </c>
      <c r="L97">
        <v>66.72</v>
      </c>
      <c r="M97" t="s">
        <v>21</v>
      </c>
      <c r="N97">
        <v>287000</v>
      </c>
    </row>
    <row r="98" spans="1:14" x14ac:dyDescent="0.25">
      <c r="A98" t="s">
        <v>27</v>
      </c>
      <c r="B98">
        <v>80</v>
      </c>
      <c r="C98" t="s">
        <v>16</v>
      </c>
      <c r="D98">
        <v>80</v>
      </c>
      <c r="E98" t="s">
        <v>16</v>
      </c>
      <c r="F98" t="s">
        <v>17</v>
      </c>
      <c r="G98">
        <v>72</v>
      </c>
      <c r="H98" t="s">
        <v>18</v>
      </c>
      <c r="I98" t="s">
        <v>23</v>
      </c>
      <c r="J98">
        <v>63.79</v>
      </c>
      <c r="K98" t="s">
        <v>25</v>
      </c>
      <c r="L98">
        <v>66.040000000000006</v>
      </c>
      <c r="M98" t="s">
        <v>21</v>
      </c>
      <c r="N98">
        <v>290000</v>
      </c>
    </row>
    <row r="99" spans="1:14" x14ac:dyDescent="0.25">
      <c r="A99" t="s">
        <v>27</v>
      </c>
      <c r="B99">
        <v>67</v>
      </c>
      <c r="C99" t="s">
        <v>16</v>
      </c>
      <c r="D99">
        <v>67</v>
      </c>
      <c r="E99" t="s">
        <v>16</v>
      </c>
      <c r="F99" t="s">
        <v>17</v>
      </c>
      <c r="G99">
        <v>73</v>
      </c>
      <c r="H99" t="s">
        <v>18</v>
      </c>
      <c r="I99" t="s">
        <v>23</v>
      </c>
      <c r="J99">
        <v>59</v>
      </c>
      <c r="K99" t="s">
        <v>25</v>
      </c>
      <c r="L99">
        <v>69.72</v>
      </c>
      <c r="M99" t="s">
        <v>21</v>
      </c>
      <c r="N99">
        <v>295000</v>
      </c>
    </row>
    <row r="100" spans="1:14" x14ac:dyDescent="0.25">
      <c r="A100" t="s">
        <v>14</v>
      </c>
      <c r="B100">
        <v>76</v>
      </c>
      <c r="C100" t="s">
        <v>15</v>
      </c>
      <c r="D100">
        <v>70</v>
      </c>
      <c r="E100" t="s">
        <v>15</v>
      </c>
      <c r="F100" t="s">
        <v>24</v>
      </c>
      <c r="G100">
        <v>76</v>
      </c>
      <c r="H100" t="s">
        <v>18</v>
      </c>
      <c r="I100" t="s">
        <v>23</v>
      </c>
      <c r="J100">
        <v>66</v>
      </c>
      <c r="K100" t="s">
        <v>25</v>
      </c>
      <c r="L100">
        <v>64.44</v>
      </c>
      <c r="M100" t="s">
        <v>21</v>
      </c>
      <c r="N100">
        <v>300000</v>
      </c>
    </row>
    <row r="101" spans="1:14" x14ac:dyDescent="0.25">
      <c r="A101" t="s">
        <v>14</v>
      </c>
      <c r="B101">
        <v>77</v>
      </c>
      <c r="C101" t="s">
        <v>16</v>
      </c>
      <c r="D101">
        <v>61</v>
      </c>
      <c r="E101" t="s">
        <v>16</v>
      </c>
      <c r="F101" t="s">
        <v>17</v>
      </c>
      <c r="G101">
        <v>68</v>
      </c>
      <c r="H101" t="s">
        <v>18</v>
      </c>
      <c r="I101" t="s">
        <v>23</v>
      </c>
      <c r="J101">
        <v>57.5</v>
      </c>
      <c r="K101" t="s">
        <v>25</v>
      </c>
      <c r="L101">
        <v>61.31</v>
      </c>
      <c r="M101" t="s">
        <v>21</v>
      </c>
      <c r="N101">
        <v>300000</v>
      </c>
    </row>
    <row r="102" spans="1:14" x14ac:dyDescent="0.25">
      <c r="A102" t="s">
        <v>14</v>
      </c>
      <c r="B102">
        <v>77.400000000000006</v>
      </c>
      <c r="C102" t="s">
        <v>16</v>
      </c>
      <c r="D102">
        <v>60</v>
      </c>
      <c r="E102" t="s">
        <v>16</v>
      </c>
      <c r="F102" t="s">
        <v>24</v>
      </c>
      <c r="G102">
        <v>64.739999999999995</v>
      </c>
      <c r="H102" t="s">
        <v>26</v>
      </c>
      <c r="I102" t="s">
        <v>23</v>
      </c>
      <c r="J102">
        <v>92</v>
      </c>
      <c r="K102" t="s">
        <v>25</v>
      </c>
      <c r="L102">
        <v>63.62</v>
      </c>
      <c r="M102" t="s">
        <v>21</v>
      </c>
      <c r="N102">
        <v>300000</v>
      </c>
    </row>
    <row r="103" spans="1:14" x14ac:dyDescent="0.25">
      <c r="A103" t="s">
        <v>14</v>
      </c>
      <c r="B103">
        <v>85</v>
      </c>
      <c r="C103" t="s">
        <v>16</v>
      </c>
      <c r="D103">
        <v>90</v>
      </c>
      <c r="E103" t="s">
        <v>16</v>
      </c>
      <c r="F103" t="s">
        <v>17</v>
      </c>
      <c r="G103">
        <v>82</v>
      </c>
      <c r="H103" t="s">
        <v>18</v>
      </c>
      <c r="I103" t="s">
        <v>19</v>
      </c>
      <c r="J103">
        <v>92</v>
      </c>
      <c r="K103" t="s">
        <v>25</v>
      </c>
      <c r="L103">
        <v>68.03</v>
      </c>
      <c r="M103" t="s">
        <v>21</v>
      </c>
      <c r="N103">
        <v>300000</v>
      </c>
    </row>
    <row r="104" spans="1:14" x14ac:dyDescent="0.25">
      <c r="A104" t="s">
        <v>27</v>
      </c>
      <c r="B104">
        <v>61</v>
      </c>
      <c r="C104" t="s">
        <v>15</v>
      </c>
      <c r="D104">
        <v>82</v>
      </c>
      <c r="E104" t="s">
        <v>15</v>
      </c>
      <c r="F104" t="s">
        <v>17</v>
      </c>
      <c r="G104">
        <v>69</v>
      </c>
      <c r="H104" t="s">
        <v>18</v>
      </c>
      <c r="I104" t="s">
        <v>19</v>
      </c>
      <c r="J104">
        <v>84</v>
      </c>
      <c r="K104" t="s">
        <v>25</v>
      </c>
      <c r="L104">
        <v>58.31</v>
      </c>
      <c r="M104" t="s">
        <v>21</v>
      </c>
      <c r="N104">
        <v>300000</v>
      </c>
    </row>
    <row r="105" spans="1:14" x14ac:dyDescent="0.25">
      <c r="A105" t="s">
        <v>27</v>
      </c>
      <c r="B105">
        <v>63</v>
      </c>
      <c r="C105" t="s">
        <v>15</v>
      </c>
      <c r="D105">
        <v>66.2</v>
      </c>
      <c r="E105" t="s">
        <v>15</v>
      </c>
      <c r="F105" t="s">
        <v>17</v>
      </c>
      <c r="G105">
        <v>65.599999999999994</v>
      </c>
      <c r="H105" t="s">
        <v>18</v>
      </c>
      <c r="I105" t="s">
        <v>23</v>
      </c>
      <c r="J105">
        <v>60</v>
      </c>
      <c r="K105" t="s">
        <v>25</v>
      </c>
      <c r="L105">
        <v>62.54</v>
      </c>
      <c r="M105" t="s">
        <v>21</v>
      </c>
      <c r="N105">
        <v>300000</v>
      </c>
    </row>
    <row r="106" spans="1:14" x14ac:dyDescent="0.25">
      <c r="A106" t="s">
        <v>27</v>
      </c>
      <c r="B106">
        <v>66.5</v>
      </c>
      <c r="C106" t="s">
        <v>15</v>
      </c>
      <c r="D106">
        <v>62.5</v>
      </c>
      <c r="E106" t="s">
        <v>15</v>
      </c>
      <c r="F106" t="s">
        <v>17</v>
      </c>
      <c r="G106">
        <v>60.9</v>
      </c>
      <c r="H106" t="s">
        <v>18</v>
      </c>
      <c r="I106" t="s">
        <v>19</v>
      </c>
      <c r="J106">
        <v>93.4</v>
      </c>
      <c r="K106" t="s">
        <v>25</v>
      </c>
      <c r="L106">
        <v>55.03</v>
      </c>
      <c r="M106" t="s">
        <v>21</v>
      </c>
      <c r="N106">
        <v>300000</v>
      </c>
    </row>
    <row r="107" spans="1:14" x14ac:dyDescent="0.25">
      <c r="A107" t="s">
        <v>27</v>
      </c>
      <c r="B107">
        <v>68.2</v>
      </c>
      <c r="C107" t="s">
        <v>15</v>
      </c>
      <c r="D107">
        <v>72.8</v>
      </c>
      <c r="E107" t="s">
        <v>15</v>
      </c>
      <c r="F107" t="s">
        <v>17</v>
      </c>
      <c r="G107">
        <v>66.599999999999994</v>
      </c>
      <c r="H107" t="s">
        <v>18</v>
      </c>
      <c r="I107" t="s">
        <v>23</v>
      </c>
      <c r="J107">
        <v>96</v>
      </c>
      <c r="K107" t="s">
        <v>25</v>
      </c>
      <c r="L107">
        <v>70.849999999999994</v>
      </c>
      <c r="M107" t="s">
        <v>21</v>
      </c>
      <c r="N107">
        <v>300000</v>
      </c>
    </row>
    <row r="108" spans="1:14" x14ac:dyDescent="0.25">
      <c r="A108" t="s">
        <v>27</v>
      </c>
      <c r="B108">
        <v>69</v>
      </c>
      <c r="C108" t="s">
        <v>16</v>
      </c>
      <c r="D108">
        <v>60</v>
      </c>
      <c r="E108" t="s">
        <v>16</v>
      </c>
      <c r="F108" t="s">
        <v>17</v>
      </c>
      <c r="G108">
        <v>65</v>
      </c>
      <c r="H108" t="s">
        <v>18</v>
      </c>
      <c r="I108" t="s">
        <v>19</v>
      </c>
      <c r="J108">
        <v>87.55</v>
      </c>
      <c r="K108" t="s">
        <v>25</v>
      </c>
      <c r="L108">
        <v>52.81</v>
      </c>
      <c r="M108" t="s">
        <v>21</v>
      </c>
      <c r="N108">
        <v>300000</v>
      </c>
    </row>
    <row r="109" spans="1:14" x14ac:dyDescent="0.25">
      <c r="A109" t="s">
        <v>27</v>
      </c>
      <c r="B109">
        <v>70</v>
      </c>
      <c r="C109" t="s">
        <v>15</v>
      </c>
      <c r="D109">
        <v>63</v>
      </c>
      <c r="E109" t="s">
        <v>16</v>
      </c>
      <c r="F109" t="s">
        <v>24</v>
      </c>
      <c r="G109">
        <v>70</v>
      </c>
      <c r="H109" t="s">
        <v>26</v>
      </c>
      <c r="I109" t="s">
        <v>23</v>
      </c>
      <c r="J109">
        <v>55</v>
      </c>
      <c r="K109" t="s">
        <v>25</v>
      </c>
      <c r="L109">
        <v>62</v>
      </c>
      <c r="M109" t="s">
        <v>21</v>
      </c>
      <c r="N109">
        <v>300000</v>
      </c>
    </row>
    <row r="110" spans="1:14" x14ac:dyDescent="0.25">
      <c r="A110" t="s">
        <v>27</v>
      </c>
      <c r="B110">
        <v>70</v>
      </c>
      <c r="C110" t="s">
        <v>15</v>
      </c>
      <c r="D110">
        <v>74</v>
      </c>
      <c r="E110" t="s">
        <v>15</v>
      </c>
      <c r="F110" t="s">
        <v>17</v>
      </c>
      <c r="G110">
        <v>65</v>
      </c>
      <c r="H110" t="s">
        <v>18</v>
      </c>
      <c r="I110" t="s">
        <v>19</v>
      </c>
      <c r="J110">
        <v>83</v>
      </c>
      <c r="K110" t="s">
        <v>25</v>
      </c>
      <c r="L110">
        <v>62.28</v>
      </c>
      <c r="M110" t="s">
        <v>21</v>
      </c>
      <c r="N110">
        <v>300000</v>
      </c>
    </row>
    <row r="111" spans="1:14" x14ac:dyDescent="0.25">
      <c r="A111" t="s">
        <v>27</v>
      </c>
      <c r="B111">
        <v>77.67</v>
      </c>
      <c r="C111" t="s">
        <v>16</v>
      </c>
      <c r="D111">
        <v>64.89</v>
      </c>
      <c r="E111" t="s">
        <v>16</v>
      </c>
      <c r="F111" t="s">
        <v>17</v>
      </c>
      <c r="G111">
        <v>70.67</v>
      </c>
      <c r="H111" t="s">
        <v>18</v>
      </c>
      <c r="I111" t="s">
        <v>19</v>
      </c>
      <c r="J111">
        <v>89</v>
      </c>
      <c r="K111" t="s">
        <v>25</v>
      </c>
      <c r="L111">
        <v>60.39</v>
      </c>
      <c r="M111" t="s">
        <v>21</v>
      </c>
      <c r="N111">
        <v>300000</v>
      </c>
    </row>
    <row r="112" spans="1:14" x14ac:dyDescent="0.25">
      <c r="A112" t="s">
        <v>27</v>
      </c>
      <c r="B112">
        <v>81.7</v>
      </c>
      <c r="C112" t="s">
        <v>16</v>
      </c>
      <c r="D112">
        <v>63</v>
      </c>
      <c r="E112" t="s">
        <v>16</v>
      </c>
      <c r="F112" t="s">
        <v>24</v>
      </c>
      <c r="G112">
        <v>67</v>
      </c>
      <c r="H112" t="s">
        <v>18</v>
      </c>
      <c r="I112" t="s">
        <v>23</v>
      </c>
      <c r="J112">
        <v>86</v>
      </c>
      <c r="K112" t="s">
        <v>25</v>
      </c>
      <c r="L112">
        <v>70.2</v>
      </c>
      <c r="M112" t="s">
        <v>21</v>
      </c>
      <c r="N112">
        <v>300000</v>
      </c>
    </row>
    <row r="113" spans="1:14" x14ac:dyDescent="0.25">
      <c r="A113" t="s">
        <v>27</v>
      </c>
      <c r="B113">
        <v>83.33</v>
      </c>
      <c r="C113" t="s">
        <v>15</v>
      </c>
      <c r="D113">
        <v>78</v>
      </c>
      <c r="E113" t="s">
        <v>16</v>
      </c>
      <c r="F113" t="s">
        <v>17</v>
      </c>
      <c r="G113">
        <v>61</v>
      </c>
      <c r="H113" t="s">
        <v>18</v>
      </c>
      <c r="I113" t="s">
        <v>23</v>
      </c>
      <c r="J113">
        <v>88.56</v>
      </c>
      <c r="K113" t="s">
        <v>25</v>
      </c>
      <c r="L113">
        <v>71.55</v>
      </c>
      <c r="M113" t="s">
        <v>21</v>
      </c>
      <c r="N113">
        <v>300000</v>
      </c>
    </row>
    <row r="114" spans="1:14" x14ac:dyDescent="0.25">
      <c r="A114" t="s">
        <v>27</v>
      </c>
      <c r="B114">
        <v>84</v>
      </c>
      <c r="C114" t="s">
        <v>16</v>
      </c>
      <c r="D114">
        <v>79</v>
      </c>
      <c r="E114" t="s">
        <v>16</v>
      </c>
      <c r="F114" t="s">
        <v>24</v>
      </c>
      <c r="G114">
        <v>68</v>
      </c>
      <c r="H114" t="s">
        <v>26</v>
      </c>
      <c r="I114" t="s">
        <v>23</v>
      </c>
      <c r="J114">
        <v>84</v>
      </c>
      <c r="K114" t="s">
        <v>25</v>
      </c>
      <c r="L114">
        <v>66.69</v>
      </c>
      <c r="M114" t="s">
        <v>21</v>
      </c>
      <c r="N114">
        <v>300000</v>
      </c>
    </row>
    <row r="115" spans="1:14" x14ac:dyDescent="0.25">
      <c r="A115" t="s">
        <v>27</v>
      </c>
      <c r="B115">
        <v>84.2</v>
      </c>
      <c r="C115" t="s">
        <v>15</v>
      </c>
      <c r="D115">
        <v>73.400000000000006</v>
      </c>
      <c r="E115" t="s">
        <v>15</v>
      </c>
      <c r="F115" t="s">
        <v>17</v>
      </c>
      <c r="G115">
        <v>66.89</v>
      </c>
      <c r="H115" t="s">
        <v>18</v>
      </c>
      <c r="I115" t="s">
        <v>19</v>
      </c>
      <c r="J115">
        <v>61.6</v>
      </c>
      <c r="K115" t="s">
        <v>25</v>
      </c>
      <c r="L115">
        <v>62.48</v>
      </c>
      <c r="M115" t="s">
        <v>21</v>
      </c>
      <c r="N115">
        <v>300000</v>
      </c>
    </row>
    <row r="116" spans="1:14" x14ac:dyDescent="0.25">
      <c r="A116" t="s">
        <v>14</v>
      </c>
      <c r="B116">
        <v>60</v>
      </c>
      <c r="C116" t="s">
        <v>15</v>
      </c>
      <c r="D116">
        <v>63</v>
      </c>
      <c r="E116" t="s">
        <v>15</v>
      </c>
      <c r="F116" t="s">
        <v>22</v>
      </c>
      <c r="G116">
        <v>56</v>
      </c>
      <c r="H116" t="s">
        <v>16</v>
      </c>
      <c r="I116" t="s">
        <v>23</v>
      </c>
      <c r="J116">
        <v>80</v>
      </c>
      <c r="K116" t="s">
        <v>20</v>
      </c>
      <c r="L116">
        <v>56.63</v>
      </c>
      <c r="M116" t="s">
        <v>21</v>
      </c>
      <c r="N116">
        <v>300000</v>
      </c>
    </row>
    <row r="117" spans="1:14" x14ac:dyDescent="0.25">
      <c r="A117" t="s">
        <v>14</v>
      </c>
      <c r="B117">
        <v>69</v>
      </c>
      <c r="C117" t="s">
        <v>15</v>
      </c>
      <c r="D117">
        <v>78</v>
      </c>
      <c r="E117" t="s">
        <v>15</v>
      </c>
      <c r="F117" t="s">
        <v>17</v>
      </c>
      <c r="G117">
        <v>72</v>
      </c>
      <c r="H117" t="s">
        <v>18</v>
      </c>
      <c r="I117" t="s">
        <v>19</v>
      </c>
      <c r="J117">
        <v>71</v>
      </c>
      <c r="K117" t="s">
        <v>20</v>
      </c>
      <c r="L117">
        <v>62.74</v>
      </c>
      <c r="M117" t="s">
        <v>21</v>
      </c>
      <c r="N117">
        <v>300000</v>
      </c>
    </row>
    <row r="118" spans="1:14" x14ac:dyDescent="0.25">
      <c r="A118" t="s">
        <v>27</v>
      </c>
      <c r="B118">
        <v>67</v>
      </c>
      <c r="C118" t="s">
        <v>16</v>
      </c>
      <c r="D118">
        <v>68</v>
      </c>
      <c r="E118" t="s">
        <v>16</v>
      </c>
      <c r="F118" t="s">
        <v>17</v>
      </c>
      <c r="G118">
        <v>64</v>
      </c>
      <c r="H118" t="s">
        <v>18</v>
      </c>
      <c r="I118" t="s">
        <v>23</v>
      </c>
      <c r="J118">
        <v>74.400000000000006</v>
      </c>
      <c r="K118" t="s">
        <v>20</v>
      </c>
      <c r="L118">
        <v>53.49</v>
      </c>
      <c r="M118" t="s">
        <v>21</v>
      </c>
      <c r="N118">
        <v>300000</v>
      </c>
    </row>
    <row r="119" spans="1:14" x14ac:dyDescent="0.25">
      <c r="A119" t="s">
        <v>27</v>
      </c>
      <c r="B119">
        <v>73</v>
      </c>
      <c r="C119" t="s">
        <v>16</v>
      </c>
      <c r="D119">
        <v>58</v>
      </c>
      <c r="E119" t="s">
        <v>16</v>
      </c>
      <c r="F119" t="s">
        <v>17</v>
      </c>
      <c r="G119">
        <v>56</v>
      </c>
      <c r="H119" t="s">
        <v>18</v>
      </c>
      <c r="I119" t="s">
        <v>19</v>
      </c>
      <c r="J119">
        <v>84</v>
      </c>
      <c r="K119" t="s">
        <v>20</v>
      </c>
      <c r="L119">
        <v>52.64</v>
      </c>
      <c r="M119" t="s">
        <v>21</v>
      </c>
      <c r="N119">
        <v>300000</v>
      </c>
    </row>
    <row r="120" spans="1:14" x14ac:dyDescent="0.25">
      <c r="A120" t="s">
        <v>27</v>
      </c>
      <c r="B120">
        <v>87</v>
      </c>
      <c r="C120" t="s">
        <v>16</v>
      </c>
      <c r="D120">
        <v>87</v>
      </c>
      <c r="E120" t="s">
        <v>16</v>
      </c>
      <c r="F120" t="s">
        <v>17</v>
      </c>
      <c r="G120">
        <v>68</v>
      </c>
      <c r="H120" t="s">
        <v>18</v>
      </c>
      <c r="I120" t="s">
        <v>19</v>
      </c>
      <c r="J120">
        <v>95</v>
      </c>
      <c r="K120" t="s">
        <v>20</v>
      </c>
      <c r="L120">
        <v>62.9</v>
      </c>
      <c r="M120" t="s">
        <v>21</v>
      </c>
      <c r="N120">
        <v>300000</v>
      </c>
    </row>
    <row r="121" spans="1:14" x14ac:dyDescent="0.25">
      <c r="A121" t="s">
        <v>27</v>
      </c>
      <c r="B121">
        <v>87</v>
      </c>
      <c r="C121" t="s">
        <v>15</v>
      </c>
      <c r="D121">
        <v>74</v>
      </c>
      <c r="E121" t="s">
        <v>15</v>
      </c>
      <c r="F121" t="s">
        <v>24</v>
      </c>
      <c r="G121">
        <v>65</v>
      </c>
      <c r="H121" t="s">
        <v>26</v>
      </c>
      <c r="I121" t="s">
        <v>23</v>
      </c>
      <c r="J121">
        <v>75</v>
      </c>
      <c r="K121" t="s">
        <v>20</v>
      </c>
      <c r="L121">
        <v>72.290000000000006</v>
      </c>
      <c r="M121" t="s">
        <v>21</v>
      </c>
      <c r="N121">
        <v>300000</v>
      </c>
    </row>
    <row r="122" spans="1:14" x14ac:dyDescent="0.25">
      <c r="A122" t="s">
        <v>14</v>
      </c>
      <c r="B122">
        <v>79</v>
      </c>
      <c r="C122" t="s">
        <v>15</v>
      </c>
      <c r="D122">
        <v>76</v>
      </c>
      <c r="E122" t="s">
        <v>15</v>
      </c>
      <c r="F122" t="s">
        <v>24</v>
      </c>
      <c r="G122">
        <v>65.599999999999994</v>
      </c>
      <c r="H122" t="s">
        <v>26</v>
      </c>
      <c r="I122" t="s">
        <v>19</v>
      </c>
      <c r="J122">
        <v>58</v>
      </c>
      <c r="K122" t="s">
        <v>20</v>
      </c>
      <c r="L122">
        <v>55.47</v>
      </c>
      <c r="M122" t="s">
        <v>21</v>
      </c>
      <c r="N122">
        <v>320000</v>
      </c>
    </row>
    <row r="123" spans="1:14" x14ac:dyDescent="0.25">
      <c r="A123" t="s">
        <v>27</v>
      </c>
      <c r="B123">
        <v>56.6</v>
      </c>
      <c r="C123" t="s">
        <v>15</v>
      </c>
      <c r="D123">
        <v>64.8</v>
      </c>
      <c r="E123" t="s">
        <v>15</v>
      </c>
      <c r="F123" t="s">
        <v>17</v>
      </c>
      <c r="G123">
        <v>70.2</v>
      </c>
      <c r="H123" t="s">
        <v>18</v>
      </c>
      <c r="I123" t="s">
        <v>19</v>
      </c>
      <c r="J123">
        <v>84.27</v>
      </c>
      <c r="K123" t="s">
        <v>25</v>
      </c>
      <c r="L123">
        <v>67.2</v>
      </c>
      <c r="M123" t="s">
        <v>21</v>
      </c>
      <c r="N123">
        <v>336000</v>
      </c>
    </row>
    <row r="124" spans="1:14" x14ac:dyDescent="0.25">
      <c r="A124" t="s">
        <v>27</v>
      </c>
      <c r="B124">
        <v>49</v>
      </c>
      <c r="C124" t="s">
        <v>16</v>
      </c>
      <c r="D124">
        <v>59</v>
      </c>
      <c r="E124" t="s">
        <v>16</v>
      </c>
      <c r="F124" t="s">
        <v>24</v>
      </c>
      <c r="G124">
        <v>65</v>
      </c>
      <c r="H124" t="s">
        <v>26</v>
      </c>
      <c r="I124" t="s">
        <v>23</v>
      </c>
      <c r="J124">
        <v>86</v>
      </c>
      <c r="K124" t="s">
        <v>25</v>
      </c>
      <c r="L124">
        <v>62.48</v>
      </c>
      <c r="M124" t="s">
        <v>21</v>
      </c>
      <c r="N124">
        <v>340000</v>
      </c>
    </row>
    <row r="125" spans="1:14" x14ac:dyDescent="0.25">
      <c r="A125" t="s">
        <v>14</v>
      </c>
      <c r="B125">
        <v>84</v>
      </c>
      <c r="C125" t="s">
        <v>15</v>
      </c>
      <c r="D125">
        <v>73</v>
      </c>
      <c r="E125" t="s">
        <v>15</v>
      </c>
      <c r="F125" t="s">
        <v>17</v>
      </c>
      <c r="G125">
        <v>73</v>
      </c>
      <c r="H125" t="s">
        <v>18</v>
      </c>
      <c r="I125" t="s">
        <v>19</v>
      </c>
      <c r="J125">
        <v>75</v>
      </c>
      <c r="K125" t="s">
        <v>25</v>
      </c>
      <c r="L125">
        <v>73.33</v>
      </c>
      <c r="M125" t="s">
        <v>21</v>
      </c>
      <c r="N125">
        <v>350000</v>
      </c>
    </row>
    <row r="126" spans="1:14" x14ac:dyDescent="0.25">
      <c r="A126" t="s">
        <v>27</v>
      </c>
      <c r="B126">
        <v>76.760000000000005</v>
      </c>
      <c r="C126" t="s">
        <v>16</v>
      </c>
      <c r="D126">
        <v>76.5</v>
      </c>
      <c r="E126" t="s">
        <v>16</v>
      </c>
      <c r="F126" t="s">
        <v>17</v>
      </c>
      <c r="G126">
        <v>67.5</v>
      </c>
      <c r="H126" t="s">
        <v>18</v>
      </c>
      <c r="I126" t="s">
        <v>23</v>
      </c>
      <c r="J126">
        <v>73.349999999999994</v>
      </c>
      <c r="K126" t="s">
        <v>25</v>
      </c>
      <c r="L126">
        <v>64.150000000000006</v>
      </c>
      <c r="M126" t="s">
        <v>21</v>
      </c>
      <c r="N126">
        <v>350000</v>
      </c>
    </row>
    <row r="127" spans="1:14" x14ac:dyDescent="0.25">
      <c r="A127" t="s">
        <v>27</v>
      </c>
      <c r="B127">
        <v>68</v>
      </c>
      <c r="C127" t="s">
        <v>16</v>
      </c>
      <c r="D127">
        <v>56</v>
      </c>
      <c r="E127" t="s">
        <v>16</v>
      </c>
      <c r="F127" t="s">
        <v>24</v>
      </c>
      <c r="G127">
        <v>68</v>
      </c>
      <c r="H127" t="s">
        <v>26</v>
      </c>
      <c r="I127" t="s">
        <v>19</v>
      </c>
      <c r="J127">
        <v>73</v>
      </c>
      <c r="K127" t="s">
        <v>20</v>
      </c>
      <c r="L127">
        <v>68.069999999999993</v>
      </c>
      <c r="M127" t="s">
        <v>21</v>
      </c>
      <c r="N127">
        <v>350000</v>
      </c>
    </row>
    <row r="128" spans="1:14" x14ac:dyDescent="0.25">
      <c r="A128" t="s">
        <v>14</v>
      </c>
      <c r="B128">
        <v>74.900000000000006</v>
      </c>
      <c r="C128" t="s">
        <v>16</v>
      </c>
      <c r="D128">
        <v>57</v>
      </c>
      <c r="E128" t="s">
        <v>16</v>
      </c>
      <c r="F128" t="s">
        <v>24</v>
      </c>
      <c r="G128">
        <v>62</v>
      </c>
      <c r="H128" t="s">
        <v>16</v>
      </c>
      <c r="I128" t="s">
        <v>23</v>
      </c>
      <c r="J128">
        <v>80</v>
      </c>
      <c r="K128" t="s">
        <v>25</v>
      </c>
      <c r="L128">
        <v>60.78</v>
      </c>
      <c r="M128" t="s">
        <v>21</v>
      </c>
      <c r="N128">
        <v>360000</v>
      </c>
    </row>
    <row r="129" spans="1:14" x14ac:dyDescent="0.25">
      <c r="A129" t="s">
        <v>27</v>
      </c>
      <c r="B129">
        <v>68</v>
      </c>
      <c r="C129" t="s">
        <v>15</v>
      </c>
      <c r="D129">
        <v>76</v>
      </c>
      <c r="E129" t="s">
        <v>15</v>
      </c>
      <c r="F129" t="s">
        <v>17</v>
      </c>
      <c r="G129">
        <v>74</v>
      </c>
      <c r="H129" t="s">
        <v>18</v>
      </c>
      <c r="I129" t="s">
        <v>19</v>
      </c>
      <c r="J129">
        <v>80</v>
      </c>
      <c r="K129" t="s">
        <v>25</v>
      </c>
      <c r="L129">
        <v>63.59</v>
      </c>
      <c r="M129" t="s">
        <v>21</v>
      </c>
      <c r="N129">
        <v>360000</v>
      </c>
    </row>
    <row r="130" spans="1:14" x14ac:dyDescent="0.25">
      <c r="A130" t="s">
        <v>27</v>
      </c>
      <c r="B130">
        <v>76.5</v>
      </c>
      <c r="C130" t="s">
        <v>16</v>
      </c>
      <c r="D130">
        <v>97.7</v>
      </c>
      <c r="E130" t="s">
        <v>16</v>
      </c>
      <c r="F130" t="s">
        <v>24</v>
      </c>
      <c r="G130">
        <v>78.86</v>
      </c>
      <c r="H130" t="s">
        <v>26</v>
      </c>
      <c r="I130" t="s">
        <v>19</v>
      </c>
      <c r="J130">
        <v>97.4</v>
      </c>
      <c r="K130" t="s">
        <v>25</v>
      </c>
      <c r="L130">
        <v>74.010000000000005</v>
      </c>
      <c r="M130" t="s">
        <v>21</v>
      </c>
      <c r="N130">
        <v>360000</v>
      </c>
    </row>
    <row r="131" spans="1:14" x14ac:dyDescent="0.25">
      <c r="A131" t="s">
        <v>27</v>
      </c>
      <c r="B131">
        <v>82</v>
      </c>
      <c r="C131" t="s">
        <v>16</v>
      </c>
      <c r="D131">
        <v>61</v>
      </c>
      <c r="E131" t="s">
        <v>16</v>
      </c>
      <c r="F131" t="s">
        <v>24</v>
      </c>
      <c r="G131">
        <v>62</v>
      </c>
      <c r="H131" t="s">
        <v>26</v>
      </c>
      <c r="I131" t="s">
        <v>19</v>
      </c>
      <c r="J131">
        <v>89</v>
      </c>
      <c r="K131" t="s">
        <v>25</v>
      </c>
      <c r="L131">
        <v>65.45</v>
      </c>
      <c r="M131" t="s">
        <v>21</v>
      </c>
      <c r="N131">
        <v>360000</v>
      </c>
    </row>
    <row r="132" spans="1:14" x14ac:dyDescent="0.25">
      <c r="A132" t="s">
        <v>14</v>
      </c>
      <c r="B132">
        <v>69.8</v>
      </c>
      <c r="C132" t="s">
        <v>16</v>
      </c>
      <c r="D132">
        <v>60.8</v>
      </c>
      <c r="E132" t="s">
        <v>16</v>
      </c>
      <c r="F132" t="s">
        <v>24</v>
      </c>
      <c r="G132">
        <v>72.23</v>
      </c>
      <c r="H132" t="s">
        <v>26</v>
      </c>
      <c r="I132" t="s">
        <v>19</v>
      </c>
      <c r="J132">
        <v>55.53</v>
      </c>
      <c r="K132" t="s">
        <v>20</v>
      </c>
      <c r="L132">
        <v>68.81</v>
      </c>
      <c r="M132" t="s">
        <v>21</v>
      </c>
      <c r="N132">
        <v>360000</v>
      </c>
    </row>
    <row r="133" spans="1:14" x14ac:dyDescent="0.25">
      <c r="A133" t="s">
        <v>27</v>
      </c>
      <c r="B133">
        <v>69</v>
      </c>
      <c r="C133" t="s">
        <v>15</v>
      </c>
      <c r="D133">
        <v>63</v>
      </c>
      <c r="E133" t="s">
        <v>16</v>
      </c>
      <c r="F133" t="s">
        <v>24</v>
      </c>
      <c r="G133">
        <v>65</v>
      </c>
      <c r="H133" t="s">
        <v>18</v>
      </c>
      <c r="I133" t="s">
        <v>23</v>
      </c>
      <c r="J133">
        <v>55</v>
      </c>
      <c r="K133" t="s">
        <v>20</v>
      </c>
      <c r="L133">
        <v>58.23</v>
      </c>
      <c r="M133" t="s">
        <v>21</v>
      </c>
      <c r="N133">
        <v>360000</v>
      </c>
    </row>
    <row r="134" spans="1:14" x14ac:dyDescent="0.25">
      <c r="A134" t="s">
        <v>27</v>
      </c>
      <c r="B134">
        <v>63</v>
      </c>
      <c r="C134" t="s">
        <v>15</v>
      </c>
      <c r="D134">
        <v>72</v>
      </c>
      <c r="E134" t="s">
        <v>15</v>
      </c>
      <c r="F134" t="s">
        <v>17</v>
      </c>
      <c r="G134">
        <v>68</v>
      </c>
      <c r="H134" t="s">
        <v>18</v>
      </c>
      <c r="I134" t="s">
        <v>19</v>
      </c>
      <c r="J134">
        <v>78</v>
      </c>
      <c r="K134" t="s">
        <v>20</v>
      </c>
      <c r="L134">
        <v>60.44</v>
      </c>
      <c r="M134" t="s">
        <v>21</v>
      </c>
      <c r="N134">
        <v>380000</v>
      </c>
    </row>
    <row r="135" spans="1:14" x14ac:dyDescent="0.25">
      <c r="A135" t="s">
        <v>14</v>
      </c>
      <c r="B135">
        <v>79</v>
      </c>
      <c r="C135" t="s">
        <v>16</v>
      </c>
      <c r="D135">
        <v>76</v>
      </c>
      <c r="E135" t="s">
        <v>16</v>
      </c>
      <c r="F135" t="s">
        <v>17</v>
      </c>
      <c r="G135">
        <v>85</v>
      </c>
      <c r="H135" t="s">
        <v>18</v>
      </c>
      <c r="I135" t="s">
        <v>19</v>
      </c>
      <c r="J135">
        <v>95</v>
      </c>
      <c r="K135" t="s">
        <v>25</v>
      </c>
      <c r="L135">
        <v>69.06</v>
      </c>
      <c r="M135" t="s">
        <v>21</v>
      </c>
      <c r="N135">
        <v>393000</v>
      </c>
    </row>
    <row r="136" spans="1:14" x14ac:dyDescent="0.25">
      <c r="A136" t="s">
        <v>14</v>
      </c>
      <c r="B136">
        <v>83.84</v>
      </c>
      <c r="C136" t="s">
        <v>16</v>
      </c>
      <c r="D136">
        <v>89.83</v>
      </c>
      <c r="E136" t="s">
        <v>16</v>
      </c>
      <c r="F136" t="s">
        <v>17</v>
      </c>
      <c r="G136">
        <v>77.2</v>
      </c>
      <c r="H136" t="s">
        <v>18</v>
      </c>
      <c r="I136" t="s">
        <v>23</v>
      </c>
      <c r="J136">
        <v>78.739999999999995</v>
      </c>
      <c r="K136" t="s">
        <v>25</v>
      </c>
      <c r="L136">
        <v>76.180000000000007</v>
      </c>
      <c r="M136" t="s">
        <v>21</v>
      </c>
      <c r="N136">
        <v>400000</v>
      </c>
    </row>
    <row r="137" spans="1:14" x14ac:dyDescent="0.25">
      <c r="A137" t="s">
        <v>27</v>
      </c>
      <c r="B137">
        <v>80.599999999999994</v>
      </c>
      <c r="C137" t="s">
        <v>16</v>
      </c>
      <c r="D137">
        <v>82</v>
      </c>
      <c r="E137" t="s">
        <v>16</v>
      </c>
      <c r="F137" t="s">
        <v>17</v>
      </c>
      <c r="G137">
        <v>77.599999999999994</v>
      </c>
      <c r="H137" t="s">
        <v>18</v>
      </c>
      <c r="I137" t="s">
        <v>19</v>
      </c>
      <c r="J137">
        <v>91</v>
      </c>
      <c r="K137" t="s">
        <v>25</v>
      </c>
      <c r="L137">
        <v>74.489999999999995</v>
      </c>
      <c r="M137" t="s">
        <v>21</v>
      </c>
      <c r="N137">
        <v>400000</v>
      </c>
    </row>
    <row r="138" spans="1:14" x14ac:dyDescent="0.25">
      <c r="A138" t="s">
        <v>27</v>
      </c>
      <c r="B138">
        <v>80.400000000000006</v>
      </c>
      <c r="C138" t="s">
        <v>15</v>
      </c>
      <c r="D138">
        <v>73.400000000000006</v>
      </c>
      <c r="E138" t="s">
        <v>15</v>
      </c>
      <c r="F138" t="s">
        <v>24</v>
      </c>
      <c r="G138">
        <v>77.72</v>
      </c>
      <c r="H138" t="s">
        <v>26</v>
      </c>
      <c r="I138" t="s">
        <v>23</v>
      </c>
      <c r="J138">
        <v>81.2</v>
      </c>
      <c r="K138" t="s">
        <v>20</v>
      </c>
      <c r="L138">
        <v>76.260000000000005</v>
      </c>
      <c r="M138" t="s">
        <v>21</v>
      </c>
      <c r="N138">
        <v>400000</v>
      </c>
    </row>
    <row r="139" spans="1:14" x14ac:dyDescent="0.25">
      <c r="A139" t="s">
        <v>27</v>
      </c>
      <c r="B139">
        <v>89.4</v>
      </c>
      <c r="C139" t="s">
        <v>16</v>
      </c>
      <c r="D139">
        <v>65.66</v>
      </c>
      <c r="E139" t="s">
        <v>16</v>
      </c>
      <c r="F139" t="s">
        <v>24</v>
      </c>
      <c r="G139">
        <v>71.25</v>
      </c>
      <c r="H139" t="s">
        <v>26</v>
      </c>
      <c r="I139" t="s">
        <v>19</v>
      </c>
      <c r="J139">
        <v>72</v>
      </c>
      <c r="K139" t="s">
        <v>20</v>
      </c>
      <c r="L139">
        <v>63.23</v>
      </c>
      <c r="M139" t="s">
        <v>21</v>
      </c>
      <c r="N139">
        <v>400000</v>
      </c>
    </row>
    <row r="140" spans="1:14" x14ac:dyDescent="0.25">
      <c r="A140" t="s">
        <v>27</v>
      </c>
      <c r="B140">
        <v>81</v>
      </c>
      <c r="C140" t="s">
        <v>16</v>
      </c>
      <c r="D140">
        <v>68</v>
      </c>
      <c r="E140" t="s">
        <v>16</v>
      </c>
      <c r="F140" t="s">
        <v>24</v>
      </c>
      <c r="G140">
        <v>64</v>
      </c>
      <c r="H140" t="s">
        <v>26</v>
      </c>
      <c r="I140" t="s">
        <v>19</v>
      </c>
      <c r="J140">
        <v>93</v>
      </c>
      <c r="K140" t="s">
        <v>25</v>
      </c>
      <c r="L140">
        <v>62.56</v>
      </c>
      <c r="M140" t="s">
        <v>21</v>
      </c>
      <c r="N140">
        <v>411000</v>
      </c>
    </row>
    <row r="141" spans="1:14" x14ac:dyDescent="0.25">
      <c r="A141" t="s">
        <v>27</v>
      </c>
      <c r="B141">
        <v>73</v>
      </c>
      <c r="C141" t="s">
        <v>15</v>
      </c>
      <c r="D141">
        <v>78</v>
      </c>
      <c r="E141" t="s">
        <v>16</v>
      </c>
      <c r="F141" t="s">
        <v>17</v>
      </c>
      <c r="G141">
        <v>65</v>
      </c>
      <c r="H141" t="s">
        <v>18</v>
      </c>
      <c r="I141" t="s">
        <v>23</v>
      </c>
      <c r="J141">
        <v>95.46</v>
      </c>
      <c r="K141" t="s">
        <v>25</v>
      </c>
      <c r="L141">
        <v>62.16</v>
      </c>
      <c r="M141" t="s">
        <v>21</v>
      </c>
      <c r="N141">
        <v>420000</v>
      </c>
    </row>
    <row r="142" spans="1:14" x14ac:dyDescent="0.25">
      <c r="A142" t="s">
        <v>27</v>
      </c>
      <c r="B142">
        <v>85.8</v>
      </c>
      <c r="C142" t="s">
        <v>15</v>
      </c>
      <c r="D142">
        <v>73.599999999999994</v>
      </c>
      <c r="E142" t="s">
        <v>15</v>
      </c>
      <c r="F142" t="s">
        <v>17</v>
      </c>
      <c r="G142">
        <v>73.3</v>
      </c>
      <c r="H142" t="s">
        <v>18</v>
      </c>
      <c r="I142" t="s">
        <v>19</v>
      </c>
      <c r="J142">
        <v>96.8</v>
      </c>
      <c r="K142" t="s">
        <v>25</v>
      </c>
      <c r="L142">
        <v>55.5</v>
      </c>
      <c r="M142" t="s">
        <v>21</v>
      </c>
      <c r="N142">
        <v>425000</v>
      </c>
    </row>
    <row r="143" spans="1:14" x14ac:dyDescent="0.25">
      <c r="A143" t="s">
        <v>27</v>
      </c>
      <c r="B143">
        <v>80</v>
      </c>
      <c r="C143" t="s">
        <v>16</v>
      </c>
      <c r="D143">
        <v>70</v>
      </c>
      <c r="E143" t="s">
        <v>16</v>
      </c>
      <c r="F143" t="s">
        <v>24</v>
      </c>
      <c r="G143">
        <v>72</v>
      </c>
      <c r="H143" t="s">
        <v>26</v>
      </c>
      <c r="I143" t="s">
        <v>19</v>
      </c>
      <c r="J143">
        <v>87</v>
      </c>
      <c r="K143" t="s">
        <v>20</v>
      </c>
      <c r="L143">
        <v>71.040000000000006</v>
      </c>
      <c r="M143" t="s">
        <v>21</v>
      </c>
      <c r="N143">
        <v>450000</v>
      </c>
    </row>
    <row r="144" spans="1:14" x14ac:dyDescent="0.25">
      <c r="A144" t="s">
        <v>27</v>
      </c>
      <c r="B144">
        <v>63</v>
      </c>
      <c r="C144" t="s">
        <v>16</v>
      </c>
      <c r="D144">
        <v>67</v>
      </c>
      <c r="E144" t="s">
        <v>16</v>
      </c>
      <c r="F144" t="s">
        <v>24</v>
      </c>
      <c r="G144">
        <v>64</v>
      </c>
      <c r="H144" t="s">
        <v>26</v>
      </c>
      <c r="I144" t="s">
        <v>19</v>
      </c>
      <c r="J144">
        <v>75</v>
      </c>
      <c r="K144" t="s">
        <v>25</v>
      </c>
      <c r="L144">
        <v>66.459999999999994</v>
      </c>
      <c r="M144" t="s">
        <v>21</v>
      </c>
      <c r="N144">
        <v>500000</v>
      </c>
    </row>
    <row r="145" spans="1:14" x14ac:dyDescent="0.25">
      <c r="A145" t="s">
        <v>27</v>
      </c>
      <c r="B145">
        <v>64</v>
      </c>
      <c r="C145" t="s">
        <v>16</v>
      </c>
      <c r="D145">
        <v>80</v>
      </c>
      <c r="E145" t="s">
        <v>16</v>
      </c>
      <c r="F145" t="s">
        <v>24</v>
      </c>
      <c r="G145">
        <v>65</v>
      </c>
      <c r="H145" t="s">
        <v>26</v>
      </c>
      <c r="I145" t="s">
        <v>23</v>
      </c>
      <c r="J145">
        <v>69</v>
      </c>
      <c r="K145" t="s">
        <v>25</v>
      </c>
      <c r="L145">
        <v>57.65</v>
      </c>
      <c r="M145" t="s">
        <v>21</v>
      </c>
      <c r="N145">
        <v>500000</v>
      </c>
    </row>
    <row r="146" spans="1:14" x14ac:dyDescent="0.25">
      <c r="A146" t="s">
        <v>27</v>
      </c>
      <c r="B146">
        <v>73.239999999999995</v>
      </c>
      <c r="C146" t="s">
        <v>16</v>
      </c>
      <c r="D146">
        <v>50.83</v>
      </c>
      <c r="E146" t="s">
        <v>16</v>
      </c>
      <c r="F146" t="s">
        <v>24</v>
      </c>
      <c r="G146">
        <v>64.27</v>
      </c>
      <c r="H146" t="s">
        <v>26</v>
      </c>
      <c r="I146" t="s">
        <v>23</v>
      </c>
      <c r="J146">
        <v>64</v>
      </c>
      <c r="K146" t="s">
        <v>25</v>
      </c>
      <c r="L146">
        <v>66.23</v>
      </c>
      <c r="M146" t="s">
        <v>21</v>
      </c>
      <c r="N146">
        <v>500000</v>
      </c>
    </row>
    <row r="147" spans="1:14" x14ac:dyDescent="0.25">
      <c r="A147" t="s">
        <v>14</v>
      </c>
      <c r="B147">
        <v>73</v>
      </c>
      <c r="C147" t="s">
        <v>15</v>
      </c>
      <c r="D147">
        <v>97</v>
      </c>
      <c r="E147" t="s">
        <v>16</v>
      </c>
      <c r="F147" t="s">
        <v>17</v>
      </c>
      <c r="G147">
        <v>79</v>
      </c>
      <c r="H147" t="s">
        <v>18</v>
      </c>
      <c r="I147" t="s">
        <v>23</v>
      </c>
      <c r="J147">
        <v>89</v>
      </c>
      <c r="K147" t="s">
        <v>25</v>
      </c>
      <c r="L147">
        <v>70.81</v>
      </c>
      <c r="M147" t="s">
        <v>21</v>
      </c>
      <c r="N147">
        <v>650000</v>
      </c>
    </row>
    <row r="148" spans="1:14" x14ac:dyDescent="0.25">
      <c r="A148" t="s">
        <v>27</v>
      </c>
      <c r="B148">
        <v>71</v>
      </c>
      <c r="C148" t="s">
        <v>15</v>
      </c>
      <c r="D148">
        <v>58.66</v>
      </c>
      <c r="E148" t="s">
        <v>15</v>
      </c>
      <c r="F148" t="s">
        <v>24</v>
      </c>
      <c r="G148">
        <v>58</v>
      </c>
      <c r="H148" t="s">
        <v>26</v>
      </c>
      <c r="I148" t="s">
        <v>23</v>
      </c>
      <c r="J148">
        <v>56</v>
      </c>
      <c r="K148" t="s">
        <v>25</v>
      </c>
      <c r="L148">
        <v>61.3</v>
      </c>
      <c r="M148" t="s">
        <v>21</v>
      </c>
      <c r="N148">
        <v>690000</v>
      </c>
    </row>
    <row r="149" spans="1:14" x14ac:dyDescent="0.25">
      <c r="A149" t="s">
        <v>27</v>
      </c>
      <c r="B149">
        <v>60.8</v>
      </c>
      <c r="C149" t="s">
        <v>15</v>
      </c>
      <c r="D149">
        <v>68.400000000000006</v>
      </c>
      <c r="E149" t="s">
        <v>15</v>
      </c>
      <c r="F149" t="s">
        <v>17</v>
      </c>
      <c r="G149">
        <v>64.599999999999994</v>
      </c>
      <c r="H149" t="s">
        <v>18</v>
      </c>
      <c r="I149" t="s">
        <v>23</v>
      </c>
      <c r="J149">
        <v>82.66</v>
      </c>
      <c r="K149" t="s">
        <v>25</v>
      </c>
      <c r="L149">
        <v>64.34</v>
      </c>
      <c r="M149" t="s">
        <v>21</v>
      </c>
      <c r="N149">
        <v>940000</v>
      </c>
    </row>
  </sheetData>
  <sortState xmlns:xlrd2="http://schemas.microsoft.com/office/spreadsheetml/2017/richdata2" ref="A2:N150">
    <sortCondition ref="N2:N150"/>
    <sortCondition ref="K2:K1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A6A8-61AA-4631-86F1-BA4772A24CDA}">
  <dimension ref="A1:I52"/>
  <sheetViews>
    <sheetView workbookViewId="0">
      <selection sqref="A1:XFD1048576"/>
    </sheetView>
  </sheetViews>
  <sheetFormatPr defaultRowHeight="15" x14ac:dyDescent="0.25"/>
  <cols>
    <col min="2" max="2" width="21.42578125" customWidth="1"/>
    <col min="3" max="3" width="18.28515625" customWidth="1"/>
    <col min="4" max="4" width="11.5703125" customWidth="1"/>
    <col min="5" max="5" width="11.5703125" style="3" customWidth="1"/>
    <col min="7" max="7" width="17" customWidth="1"/>
    <col min="8" max="8" width="18.85546875" style="3" customWidth="1"/>
    <col min="9" max="9" width="37.7109375" customWidth="1"/>
  </cols>
  <sheetData>
    <row r="1" spans="1:9" x14ac:dyDescent="0.25">
      <c r="A1" s="7" t="s">
        <v>50</v>
      </c>
      <c r="B1" s="8" t="s">
        <v>43</v>
      </c>
      <c r="C1" s="8" t="s">
        <v>44</v>
      </c>
      <c r="D1" s="17" t="s">
        <v>21</v>
      </c>
      <c r="E1" s="17"/>
      <c r="F1" s="8"/>
      <c r="G1" s="17" t="s">
        <v>45</v>
      </c>
      <c r="H1" s="17"/>
      <c r="I1" s="9" t="s">
        <v>49</v>
      </c>
    </row>
    <row r="2" spans="1:9" ht="15.75" thickBot="1" x14ac:dyDescent="0.3">
      <c r="A2" s="10"/>
      <c r="B2" s="11"/>
      <c r="C2" s="11"/>
      <c r="D2" s="11" t="s">
        <v>46</v>
      </c>
      <c r="E2" s="11" t="s">
        <v>47</v>
      </c>
      <c r="F2" s="11"/>
      <c r="G2" s="11" t="s">
        <v>46</v>
      </c>
      <c r="H2" s="11" t="s">
        <v>48</v>
      </c>
      <c r="I2" s="12"/>
    </row>
    <row r="3" spans="1:9" x14ac:dyDescent="0.25">
      <c r="A3" s="13"/>
      <c r="B3" s="13" t="s">
        <v>28</v>
      </c>
      <c r="C3" s="13" t="s">
        <v>16</v>
      </c>
      <c r="D3" s="13">
        <v>70</v>
      </c>
      <c r="E3" s="14">
        <f>SUM(D3/D5)*100</f>
        <v>47.297297297297298</v>
      </c>
      <c r="F3" s="13"/>
      <c r="G3" s="13">
        <v>29</v>
      </c>
      <c r="H3" s="14">
        <f>SUM(G3/G5)*100</f>
        <v>43.283582089552233</v>
      </c>
      <c r="I3" s="14">
        <f>SUM(E3-H3)</f>
        <v>4.0137152077450651</v>
      </c>
    </row>
    <row r="4" spans="1:9" x14ac:dyDescent="0.25">
      <c r="A4" s="6"/>
      <c r="B4" s="6" t="s">
        <v>28</v>
      </c>
      <c r="C4" s="6" t="s">
        <v>15</v>
      </c>
      <c r="D4" s="6">
        <v>78</v>
      </c>
      <c r="E4" s="15">
        <f>SUM(D4/D5)*100</f>
        <v>52.702702702702695</v>
      </c>
      <c r="F4" s="6"/>
      <c r="G4" s="6">
        <v>38</v>
      </c>
      <c r="H4" s="15">
        <f>SUM(G4/G5)*100</f>
        <v>56.71641791044776</v>
      </c>
      <c r="I4" s="16">
        <f t="shared" ref="I4:I52" si="0">SUM(E4-H4)</f>
        <v>-4.0137152077450651</v>
      </c>
    </row>
    <row r="5" spans="1:9" x14ac:dyDescent="0.25">
      <c r="A5" s="6"/>
      <c r="B5" s="6" t="s">
        <v>42</v>
      </c>
      <c r="C5" s="6"/>
      <c r="D5" s="6">
        <f>SUM(D3:D4)</f>
        <v>148</v>
      </c>
      <c r="E5" s="15"/>
      <c r="F5" s="6"/>
      <c r="G5" s="6">
        <f>SUM(G3:G4)</f>
        <v>67</v>
      </c>
      <c r="H5" s="15"/>
      <c r="I5" s="15">
        <f t="shared" si="0"/>
        <v>0</v>
      </c>
    </row>
    <row r="6" spans="1:9" x14ac:dyDescent="0.25">
      <c r="A6" s="1"/>
      <c r="B6" s="1"/>
      <c r="C6" s="1"/>
      <c r="D6" s="1"/>
      <c r="E6" s="2"/>
      <c r="F6" s="1"/>
      <c r="G6" s="1"/>
      <c r="H6" s="2"/>
      <c r="I6" s="2">
        <f t="shared" si="0"/>
        <v>0</v>
      </c>
    </row>
    <row r="7" spans="1:9" x14ac:dyDescent="0.25">
      <c r="A7" s="1"/>
      <c r="B7" s="1" t="s">
        <v>41</v>
      </c>
      <c r="C7" s="1" t="s">
        <v>15</v>
      </c>
      <c r="D7" s="1">
        <v>57</v>
      </c>
      <c r="E7" s="2">
        <f>SUM(D7/D9)*100</f>
        <v>38.513513513513516</v>
      </c>
      <c r="F7" s="1"/>
      <c r="G7" s="1">
        <v>27</v>
      </c>
      <c r="H7" s="2">
        <f>SUM(G7/G9)*100</f>
        <v>40.298507462686565</v>
      </c>
      <c r="I7" s="5">
        <f t="shared" si="0"/>
        <v>-1.7849939491730495</v>
      </c>
    </row>
    <row r="8" spans="1:9" x14ac:dyDescent="0.25">
      <c r="A8" s="1"/>
      <c r="B8" s="1" t="s">
        <v>41</v>
      </c>
      <c r="C8" s="1" t="s">
        <v>16</v>
      </c>
      <c r="D8" s="1">
        <v>91</v>
      </c>
      <c r="E8" s="2">
        <f>SUM(D8/D9)*100</f>
        <v>61.486486486486491</v>
      </c>
      <c r="F8" s="1"/>
      <c r="G8" s="1">
        <v>40</v>
      </c>
      <c r="H8" s="2">
        <f>SUM(G8/G9)*100</f>
        <v>59.701492537313428</v>
      </c>
      <c r="I8" s="2">
        <f t="shared" si="0"/>
        <v>1.7849939491730638</v>
      </c>
    </row>
    <row r="9" spans="1:9" x14ac:dyDescent="0.25">
      <c r="A9" s="1"/>
      <c r="B9" s="6" t="s">
        <v>42</v>
      </c>
      <c r="C9" s="1"/>
      <c r="D9" s="1">
        <f>SUM(D7:D8)</f>
        <v>148</v>
      </c>
      <c r="E9" s="2"/>
      <c r="F9" s="1"/>
      <c r="G9" s="1">
        <f>SUM(G7:G8)</f>
        <v>67</v>
      </c>
      <c r="H9" s="2"/>
      <c r="I9" s="2">
        <f t="shared" si="0"/>
        <v>0</v>
      </c>
    </row>
    <row r="10" spans="1:9" x14ac:dyDescent="0.25">
      <c r="A10" s="1"/>
      <c r="B10" s="1"/>
      <c r="C10" s="1"/>
      <c r="D10" s="1"/>
      <c r="E10" s="2"/>
      <c r="F10" s="1"/>
      <c r="G10" s="1"/>
      <c r="H10" s="2"/>
      <c r="I10" s="2">
        <f t="shared" si="0"/>
        <v>0</v>
      </c>
    </row>
    <row r="11" spans="1:9" x14ac:dyDescent="0.25">
      <c r="A11" s="1"/>
      <c r="B11" s="1" t="s">
        <v>29</v>
      </c>
      <c r="C11" s="1" t="s">
        <v>22</v>
      </c>
      <c r="D11" s="1">
        <v>6</v>
      </c>
      <c r="E11" s="2">
        <f>SUM(D11/D14)*100</f>
        <v>4.0540540540540544</v>
      </c>
      <c r="F11" s="1"/>
      <c r="G11" s="1">
        <v>5</v>
      </c>
      <c r="H11" s="2">
        <f>SUM(G11/G14)*100</f>
        <v>7.4626865671641784</v>
      </c>
      <c r="I11" s="5">
        <f t="shared" si="0"/>
        <v>-3.4086325131101241</v>
      </c>
    </row>
    <row r="12" spans="1:9" x14ac:dyDescent="0.25">
      <c r="A12" s="1"/>
      <c r="B12" s="1" t="s">
        <v>29</v>
      </c>
      <c r="C12" s="1" t="s">
        <v>17</v>
      </c>
      <c r="D12" s="1">
        <v>79</v>
      </c>
      <c r="E12" s="2">
        <f>SUM(D12/D14)*100</f>
        <v>53.378378378378379</v>
      </c>
      <c r="F12" s="1"/>
      <c r="G12" s="1">
        <v>34</v>
      </c>
      <c r="H12" s="2">
        <f>SUM(G12/G14)*100</f>
        <v>50.746268656716417</v>
      </c>
      <c r="I12" s="2">
        <f t="shared" si="0"/>
        <v>2.632109721661962</v>
      </c>
    </row>
    <row r="13" spans="1:9" x14ac:dyDescent="0.25">
      <c r="A13" s="1"/>
      <c r="B13" s="1" t="s">
        <v>29</v>
      </c>
      <c r="C13" s="1" t="s">
        <v>24</v>
      </c>
      <c r="D13" s="1">
        <v>63</v>
      </c>
      <c r="E13" s="2">
        <f>SUM(D13/D14)*100</f>
        <v>42.567567567567565</v>
      </c>
      <c r="F13" s="1"/>
      <c r="G13" s="1">
        <v>28</v>
      </c>
      <c r="H13" s="2">
        <f>SUM(G13/G14)*100</f>
        <v>41.791044776119399</v>
      </c>
      <c r="I13" s="2">
        <f t="shared" si="0"/>
        <v>0.77652279144816561</v>
      </c>
    </row>
    <row r="14" spans="1:9" x14ac:dyDescent="0.25">
      <c r="A14" s="1"/>
      <c r="B14" s="6" t="s">
        <v>42</v>
      </c>
      <c r="C14" s="1"/>
      <c r="D14" s="1">
        <f>SUM(D11:D13)</f>
        <v>148</v>
      </c>
      <c r="E14" s="2"/>
      <c r="F14" s="1"/>
      <c r="G14" s="1">
        <f>SUM(G11:G13)</f>
        <v>67</v>
      </c>
      <c r="H14" s="2"/>
      <c r="I14" s="2">
        <f t="shared" si="0"/>
        <v>0</v>
      </c>
    </row>
    <row r="15" spans="1:9" x14ac:dyDescent="0.25">
      <c r="A15" s="1"/>
      <c r="B15" s="1"/>
      <c r="C15" s="1"/>
      <c r="D15" s="1"/>
      <c r="E15" s="2"/>
      <c r="F15" s="1"/>
      <c r="G15" s="1"/>
      <c r="H15" s="2"/>
      <c r="I15" s="2">
        <f t="shared" si="0"/>
        <v>0</v>
      </c>
    </row>
    <row r="16" spans="1:9" x14ac:dyDescent="0.25">
      <c r="A16" s="1"/>
      <c r="B16" s="1" t="s">
        <v>30</v>
      </c>
      <c r="C16" s="1" t="s">
        <v>31</v>
      </c>
      <c r="D16" s="1">
        <v>102</v>
      </c>
      <c r="E16" s="2">
        <f>SUM(D16/D19)*100</f>
        <v>68.918918918918919</v>
      </c>
      <c r="F16" s="1"/>
      <c r="G16" s="1">
        <v>43</v>
      </c>
      <c r="H16" s="2">
        <f>SUM(G16/G19)*100</f>
        <v>64.179104477611943</v>
      </c>
      <c r="I16" s="2">
        <f t="shared" si="0"/>
        <v>4.7398144413069758</v>
      </c>
    </row>
    <row r="17" spans="1:9" x14ac:dyDescent="0.25">
      <c r="A17" s="1"/>
      <c r="B17" s="1" t="s">
        <v>30</v>
      </c>
      <c r="C17" s="1" t="s">
        <v>16</v>
      </c>
      <c r="D17" s="1">
        <v>5</v>
      </c>
      <c r="E17" s="2">
        <f>SUM(D17/D19)*100</f>
        <v>3.3783783783783785</v>
      </c>
      <c r="F17" s="1"/>
      <c r="G17" s="1">
        <v>6</v>
      </c>
      <c r="H17" s="2">
        <f>SUM(G17/G19)*100</f>
        <v>8.9552238805970141</v>
      </c>
      <c r="I17" s="2">
        <f t="shared" si="0"/>
        <v>-5.5768455022186352</v>
      </c>
    </row>
    <row r="18" spans="1:9" x14ac:dyDescent="0.25">
      <c r="A18" s="1"/>
      <c r="B18" s="1" t="s">
        <v>30</v>
      </c>
      <c r="C18" s="1" t="s">
        <v>32</v>
      </c>
      <c r="D18" s="1">
        <v>41</v>
      </c>
      <c r="E18" s="2">
        <f>SUM(D18/D19)*100</f>
        <v>27.702702702702702</v>
      </c>
      <c r="F18" s="1"/>
      <c r="G18" s="1">
        <v>18</v>
      </c>
      <c r="H18" s="2">
        <f>SUM(G18/G19)*100</f>
        <v>26.865671641791046</v>
      </c>
      <c r="I18" s="2">
        <f t="shared" si="0"/>
        <v>0.8370310609116558</v>
      </c>
    </row>
    <row r="19" spans="1:9" x14ac:dyDescent="0.25">
      <c r="A19" s="1"/>
      <c r="B19" s="6" t="s">
        <v>42</v>
      </c>
      <c r="C19" s="1"/>
      <c r="D19" s="1">
        <f>SUM(D16:D18)</f>
        <v>148</v>
      </c>
      <c r="E19" s="2"/>
      <c r="F19" s="1"/>
      <c r="G19" s="1">
        <f>SUM(G16:G18)</f>
        <v>67</v>
      </c>
      <c r="H19" s="2"/>
      <c r="I19" s="2">
        <f t="shared" si="0"/>
        <v>0</v>
      </c>
    </row>
    <row r="20" spans="1:9" x14ac:dyDescent="0.25">
      <c r="A20" s="1"/>
      <c r="B20" s="1"/>
      <c r="C20" s="1"/>
      <c r="D20" s="1"/>
      <c r="E20" s="2"/>
      <c r="F20" s="1"/>
      <c r="G20" s="1"/>
      <c r="H20" s="2"/>
      <c r="I20" s="2">
        <f t="shared" si="0"/>
        <v>0</v>
      </c>
    </row>
    <row r="21" spans="1:9" x14ac:dyDescent="0.25">
      <c r="A21" s="1"/>
      <c r="B21" s="1" t="s">
        <v>33</v>
      </c>
      <c r="C21" s="1" t="s">
        <v>23</v>
      </c>
      <c r="D21" s="1">
        <v>54</v>
      </c>
      <c r="E21" s="2">
        <f>SUM(D21/D23)*100</f>
        <v>39.130434782608695</v>
      </c>
      <c r="F21" s="1"/>
      <c r="G21" s="1">
        <v>57</v>
      </c>
      <c r="H21" s="2">
        <f>SUM(G21/G23)*100</f>
        <v>85.074626865671647</v>
      </c>
      <c r="I21" s="5">
        <f t="shared" si="0"/>
        <v>-45.944192083062951</v>
      </c>
    </row>
    <row r="22" spans="1:9" x14ac:dyDescent="0.25">
      <c r="A22" s="1"/>
      <c r="B22" s="1" t="s">
        <v>33</v>
      </c>
      <c r="C22" s="1" t="s">
        <v>19</v>
      </c>
      <c r="D22" s="1">
        <v>84</v>
      </c>
      <c r="E22" s="2">
        <f>SUM(D22/D23)*100</f>
        <v>60.869565217391312</v>
      </c>
      <c r="F22" s="1"/>
      <c r="G22" s="1">
        <v>10</v>
      </c>
      <c r="H22" s="2">
        <f>SUM(G22/G23)*100</f>
        <v>14.925373134328357</v>
      </c>
      <c r="I22" s="2">
        <f t="shared" si="0"/>
        <v>45.944192083062958</v>
      </c>
    </row>
    <row r="23" spans="1:9" x14ac:dyDescent="0.25">
      <c r="A23" s="1"/>
      <c r="B23" s="1" t="s">
        <v>42</v>
      </c>
      <c r="C23" s="1"/>
      <c r="D23" s="1">
        <f>SUM(D21:D22)</f>
        <v>138</v>
      </c>
      <c r="E23" s="2"/>
      <c r="F23" s="1"/>
      <c r="G23" s="1">
        <f>SUM(G21:G22)</f>
        <v>67</v>
      </c>
      <c r="H23" s="2"/>
      <c r="I23" s="2">
        <f t="shared" si="0"/>
        <v>0</v>
      </c>
    </row>
    <row r="24" spans="1:9" x14ac:dyDescent="0.25">
      <c r="A24" s="1"/>
      <c r="B24" s="1"/>
      <c r="C24" s="1"/>
      <c r="D24" s="1"/>
      <c r="E24" s="2"/>
      <c r="F24" s="1"/>
      <c r="G24" s="1"/>
      <c r="H24" s="2"/>
      <c r="I24" s="2">
        <f t="shared" si="0"/>
        <v>0</v>
      </c>
    </row>
    <row r="25" spans="1:9" x14ac:dyDescent="0.25">
      <c r="A25" s="1"/>
      <c r="B25" s="1" t="s">
        <v>34</v>
      </c>
      <c r="C25" s="1" t="s">
        <v>35</v>
      </c>
      <c r="D25" s="1">
        <v>95</v>
      </c>
      <c r="E25" s="2">
        <f>SUM(D25/D27)*100</f>
        <v>64.189189189189193</v>
      </c>
      <c r="F25" s="1"/>
      <c r="G25" s="1">
        <v>25</v>
      </c>
      <c r="H25" s="2">
        <f>SUM(G25/G27)*100</f>
        <v>37.313432835820898</v>
      </c>
      <c r="I25" s="2">
        <f t="shared" si="0"/>
        <v>26.875756353368295</v>
      </c>
    </row>
    <row r="26" spans="1:9" x14ac:dyDescent="0.25">
      <c r="A26" s="1"/>
      <c r="B26" s="1" t="s">
        <v>34</v>
      </c>
      <c r="C26" s="1" t="s">
        <v>36</v>
      </c>
      <c r="D26" s="1">
        <v>53</v>
      </c>
      <c r="E26" s="2">
        <f>SUM(D26/D27)*100</f>
        <v>35.810810810810814</v>
      </c>
      <c r="F26" s="1"/>
      <c r="G26" s="1">
        <v>42</v>
      </c>
      <c r="H26" s="2">
        <f>SUM(G26/G27)*100</f>
        <v>62.68656716417911</v>
      </c>
      <c r="I26" s="5">
        <f t="shared" si="0"/>
        <v>-26.875756353368295</v>
      </c>
    </row>
    <row r="27" spans="1:9" x14ac:dyDescent="0.25">
      <c r="A27" s="1"/>
      <c r="B27" s="6" t="s">
        <v>42</v>
      </c>
      <c r="C27" s="1"/>
      <c r="D27" s="1">
        <f>SUM(D25:D26)</f>
        <v>148</v>
      </c>
      <c r="E27" s="2"/>
      <c r="F27" s="1"/>
      <c r="G27" s="1">
        <f>SUM(G25:G26)</f>
        <v>67</v>
      </c>
      <c r="H27" s="2"/>
      <c r="I27" s="2">
        <f t="shared" si="0"/>
        <v>0</v>
      </c>
    </row>
    <row r="28" spans="1:9" x14ac:dyDescent="0.25">
      <c r="A28" s="1"/>
      <c r="B28" s="1"/>
      <c r="C28" s="1"/>
      <c r="D28" s="1"/>
      <c r="E28" s="2"/>
      <c r="F28" s="1"/>
      <c r="G28" s="1"/>
      <c r="H28" s="2"/>
      <c r="I28" s="2">
        <f t="shared" si="0"/>
        <v>0</v>
      </c>
    </row>
    <row r="29" spans="1:9" x14ac:dyDescent="0.25">
      <c r="A29" s="1"/>
      <c r="B29" s="1" t="s">
        <v>1</v>
      </c>
      <c r="C29" s="1" t="s">
        <v>37</v>
      </c>
      <c r="D29" s="1">
        <v>12</v>
      </c>
      <c r="E29" s="4">
        <f>SUM(D29/D32)*100</f>
        <v>8.1081081081081088</v>
      </c>
      <c r="F29" s="1"/>
      <c r="G29" s="1">
        <v>40</v>
      </c>
      <c r="H29" s="5">
        <f>SUM(G29/G32)*100</f>
        <v>59.701492537313428</v>
      </c>
      <c r="I29" s="5">
        <f t="shared" si="0"/>
        <v>-51.593384429205315</v>
      </c>
    </row>
    <row r="30" spans="1:9" x14ac:dyDescent="0.25">
      <c r="A30" s="1"/>
      <c r="B30" s="1" t="s">
        <v>1</v>
      </c>
      <c r="C30" s="1" t="s">
        <v>38</v>
      </c>
      <c r="D30" s="1">
        <v>57</v>
      </c>
      <c r="E30" s="2">
        <f>SUM(D30/D32)*100</f>
        <v>38.513513513513516</v>
      </c>
      <c r="F30" s="1"/>
      <c r="G30" s="1">
        <v>22</v>
      </c>
      <c r="H30" s="2">
        <f>SUM(G30/G32)*100</f>
        <v>32.835820895522389</v>
      </c>
      <c r="I30" s="2">
        <f t="shared" si="0"/>
        <v>5.6776926179911271</v>
      </c>
    </row>
    <row r="31" spans="1:9" x14ac:dyDescent="0.25">
      <c r="A31" s="1"/>
      <c r="B31" s="1" t="s">
        <v>1</v>
      </c>
      <c r="C31" s="1" t="s">
        <v>39</v>
      </c>
      <c r="D31" s="1">
        <v>79</v>
      </c>
      <c r="E31" s="2">
        <f>SUM(D31/D32)*100</f>
        <v>53.378378378378379</v>
      </c>
      <c r="F31" s="1"/>
      <c r="G31" s="1">
        <v>5</v>
      </c>
      <c r="H31" s="2">
        <f>SUM(G31/G32)*100</f>
        <v>7.4626865671641784</v>
      </c>
      <c r="I31" s="2">
        <f t="shared" si="0"/>
        <v>45.915691811214202</v>
      </c>
    </row>
    <row r="32" spans="1:9" x14ac:dyDescent="0.25">
      <c r="A32" s="1"/>
      <c r="B32" s="6" t="s">
        <v>42</v>
      </c>
      <c r="C32" s="1"/>
      <c r="D32" s="1">
        <f>SUM(D29:D31)</f>
        <v>148</v>
      </c>
      <c r="E32" s="2"/>
      <c r="F32" s="1"/>
      <c r="G32" s="1">
        <f>SUM(G29:G31)</f>
        <v>67</v>
      </c>
      <c r="H32" s="2"/>
      <c r="I32" s="2">
        <f t="shared" si="0"/>
        <v>0</v>
      </c>
    </row>
    <row r="33" spans="1:9" x14ac:dyDescent="0.25">
      <c r="A33" s="1"/>
      <c r="B33" s="1"/>
      <c r="C33" s="1"/>
      <c r="D33" s="1"/>
      <c r="E33" s="2"/>
      <c r="F33" s="1"/>
      <c r="G33" s="1"/>
      <c r="H33" s="2"/>
      <c r="I33" s="2">
        <f t="shared" si="0"/>
        <v>0</v>
      </c>
    </row>
    <row r="34" spans="1:9" x14ac:dyDescent="0.25">
      <c r="A34" s="1"/>
      <c r="B34" s="1" t="s">
        <v>3</v>
      </c>
      <c r="C34" s="1" t="s">
        <v>37</v>
      </c>
      <c r="D34" s="1">
        <v>18</v>
      </c>
      <c r="E34" s="4">
        <f>SUM(D34/D37)*100</f>
        <v>12.162162162162163</v>
      </c>
      <c r="F34" s="1"/>
      <c r="G34" s="1">
        <v>33</v>
      </c>
      <c r="H34" s="5">
        <f>SUM(G34/G37)*100</f>
        <v>49.253731343283583</v>
      </c>
      <c r="I34" s="5">
        <f t="shared" si="0"/>
        <v>-37.091569181121422</v>
      </c>
    </row>
    <row r="35" spans="1:9" x14ac:dyDescent="0.25">
      <c r="A35" s="1"/>
      <c r="B35" s="1" t="s">
        <v>3</v>
      </c>
      <c r="C35" s="1" t="s">
        <v>38</v>
      </c>
      <c r="D35" s="1">
        <v>66</v>
      </c>
      <c r="E35" s="2">
        <f>SUM(D35/D37)*100</f>
        <v>44.594594594594597</v>
      </c>
      <c r="F35" s="1"/>
      <c r="G35" s="1">
        <v>28</v>
      </c>
      <c r="H35" s="2">
        <f>SUM(G35/G37)*100</f>
        <v>41.791044776119399</v>
      </c>
      <c r="I35" s="2">
        <f t="shared" si="0"/>
        <v>2.8035498184751972</v>
      </c>
    </row>
    <row r="36" spans="1:9" x14ac:dyDescent="0.25">
      <c r="A36" s="1"/>
      <c r="B36" s="1" t="s">
        <v>3</v>
      </c>
      <c r="C36" s="1" t="s">
        <v>39</v>
      </c>
      <c r="D36" s="1">
        <v>64</v>
      </c>
      <c r="E36" s="2">
        <f>SUM(D36/D37)*100</f>
        <v>43.243243243243242</v>
      </c>
      <c r="F36" s="1"/>
      <c r="G36" s="1">
        <v>6</v>
      </c>
      <c r="H36" s="2">
        <f>SUM(G36/G37)*100</f>
        <v>8.9552238805970141</v>
      </c>
      <c r="I36" s="2">
        <f t="shared" si="0"/>
        <v>34.288019362646224</v>
      </c>
    </row>
    <row r="37" spans="1:9" x14ac:dyDescent="0.25">
      <c r="A37" s="1"/>
      <c r="B37" s="6" t="s">
        <v>42</v>
      </c>
      <c r="C37" s="1"/>
      <c r="D37" s="1">
        <f>SUM(D34:D36)</f>
        <v>148</v>
      </c>
      <c r="E37" s="2"/>
      <c r="F37" s="1"/>
      <c r="G37" s="1">
        <f>SUM(G34:G36)</f>
        <v>67</v>
      </c>
      <c r="H37" s="2"/>
      <c r="I37" s="2">
        <f t="shared" si="0"/>
        <v>0</v>
      </c>
    </row>
    <row r="38" spans="1:9" x14ac:dyDescent="0.25">
      <c r="A38" s="1"/>
      <c r="B38" s="1"/>
      <c r="C38" s="1"/>
      <c r="D38" s="1"/>
      <c r="E38" s="2"/>
      <c r="F38" s="1"/>
      <c r="G38" s="1"/>
      <c r="H38" s="2"/>
      <c r="I38" s="2">
        <f t="shared" si="0"/>
        <v>0</v>
      </c>
    </row>
    <row r="39" spans="1:9" x14ac:dyDescent="0.25">
      <c r="A39" s="1"/>
      <c r="B39" s="1" t="s">
        <v>40</v>
      </c>
      <c r="C39" s="1" t="s">
        <v>37</v>
      </c>
      <c r="D39" s="1">
        <v>15</v>
      </c>
      <c r="E39" s="4">
        <f>SUM(D39/D42)*100</f>
        <v>10.135135135135135</v>
      </c>
      <c r="F39" s="1"/>
      <c r="G39" s="1">
        <v>33</v>
      </c>
      <c r="H39" s="5">
        <f>SUM(G39/G42)*100</f>
        <v>49.253731343283583</v>
      </c>
      <c r="I39" s="5">
        <f t="shared" si="0"/>
        <v>-39.118596208148446</v>
      </c>
    </row>
    <row r="40" spans="1:9" x14ac:dyDescent="0.25">
      <c r="A40" s="1"/>
      <c r="B40" s="1" t="s">
        <v>40</v>
      </c>
      <c r="C40" s="1" t="s">
        <v>38</v>
      </c>
      <c r="D40" s="1">
        <v>77</v>
      </c>
      <c r="E40" s="2">
        <f>SUM(D40/D42)*100</f>
        <v>52.027027027027032</v>
      </c>
      <c r="F40" s="1"/>
      <c r="G40" s="1">
        <v>28</v>
      </c>
      <c r="H40" s="2">
        <f>SUM(G40/G42)*100</f>
        <v>41.791044776119399</v>
      </c>
      <c r="I40" s="2">
        <f t="shared" si="0"/>
        <v>10.235982250907632</v>
      </c>
    </row>
    <row r="41" spans="1:9" x14ac:dyDescent="0.25">
      <c r="A41" s="1"/>
      <c r="B41" s="1" t="s">
        <v>40</v>
      </c>
      <c r="C41" s="1" t="s">
        <v>39</v>
      </c>
      <c r="D41" s="1">
        <v>56</v>
      </c>
      <c r="E41" s="2">
        <f>SUM(D41/D42)*100</f>
        <v>37.837837837837839</v>
      </c>
      <c r="F41" s="1"/>
      <c r="G41" s="1">
        <v>6</v>
      </c>
      <c r="H41" s="2">
        <f>SUM(G41/G42)*100</f>
        <v>8.9552238805970141</v>
      </c>
      <c r="I41" s="2">
        <f t="shared" si="0"/>
        <v>28.882613957240824</v>
      </c>
    </row>
    <row r="42" spans="1:9" x14ac:dyDescent="0.25">
      <c r="A42" s="1"/>
      <c r="B42" s="6" t="s">
        <v>42</v>
      </c>
      <c r="C42" s="1"/>
      <c r="D42" s="1">
        <f>SUM(D39:D41)</f>
        <v>148</v>
      </c>
      <c r="E42" s="2"/>
      <c r="F42" s="1"/>
      <c r="G42" s="1">
        <f>SUM(G39:G41)</f>
        <v>67</v>
      </c>
      <c r="H42" s="2"/>
      <c r="I42" s="2">
        <f t="shared" si="0"/>
        <v>0</v>
      </c>
    </row>
    <row r="43" spans="1:9" x14ac:dyDescent="0.25">
      <c r="A43" s="1"/>
      <c r="B43" s="1"/>
      <c r="C43" s="1"/>
      <c r="D43" s="1"/>
      <c r="E43" s="2"/>
      <c r="F43" s="1"/>
      <c r="G43" s="1"/>
      <c r="H43" s="2"/>
      <c r="I43" s="2">
        <f t="shared" si="0"/>
        <v>0</v>
      </c>
    </row>
    <row r="44" spans="1:9" x14ac:dyDescent="0.25">
      <c r="A44" s="1"/>
      <c r="B44" s="1" t="s">
        <v>9</v>
      </c>
      <c r="C44" s="1" t="s">
        <v>37</v>
      </c>
      <c r="D44" s="1">
        <v>38</v>
      </c>
      <c r="E44" s="2">
        <f>SUM(D44/D47)*100</f>
        <v>25.675675675675674</v>
      </c>
      <c r="F44" s="1"/>
      <c r="G44" s="1">
        <v>21</v>
      </c>
      <c r="H44" s="2">
        <f>SUM(G44/G47)*100</f>
        <v>31.343283582089555</v>
      </c>
      <c r="I44" s="5">
        <f t="shared" si="0"/>
        <v>-5.6676079064138811</v>
      </c>
    </row>
    <row r="45" spans="1:9" x14ac:dyDescent="0.25">
      <c r="A45" s="1"/>
      <c r="B45" s="1" t="s">
        <v>9</v>
      </c>
      <c r="C45" s="1" t="s">
        <v>38</v>
      </c>
      <c r="D45" s="1">
        <v>31</v>
      </c>
      <c r="E45" s="2">
        <f>SUM(D45/D47)*100</f>
        <v>20.945945945945947</v>
      </c>
      <c r="F45" s="1"/>
      <c r="G45" s="1">
        <v>17</v>
      </c>
      <c r="H45" s="2">
        <f>SUM(G45/G47)*100</f>
        <v>25.373134328358208</v>
      </c>
      <c r="I45" s="5">
        <f t="shared" si="0"/>
        <v>-4.4271883824122611</v>
      </c>
    </row>
    <row r="46" spans="1:9" x14ac:dyDescent="0.25">
      <c r="A46" s="1"/>
      <c r="B46" s="1" t="s">
        <v>9</v>
      </c>
      <c r="C46" s="1" t="s">
        <v>39</v>
      </c>
      <c r="D46" s="1">
        <v>79</v>
      </c>
      <c r="E46" s="2">
        <f>SUM(D46/D47)*100</f>
        <v>53.378378378378379</v>
      </c>
      <c r="F46" s="1"/>
      <c r="G46" s="1">
        <v>29</v>
      </c>
      <c r="H46" s="2">
        <f>SUM(G46/G47)*100</f>
        <v>43.283582089552233</v>
      </c>
      <c r="I46" s="2">
        <f t="shared" si="0"/>
        <v>10.094796288826146</v>
      </c>
    </row>
    <row r="47" spans="1:9" x14ac:dyDescent="0.25">
      <c r="A47" s="1"/>
      <c r="B47" s="6" t="s">
        <v>42</v>
      </c>
      <c r="C47" s="1"/>
      <c r="D47" s="1">
        <f>SUM(D44:D46)</f>
        <v>148</v>
      </c>
      <c r="E47" s="2"/>
      <c r="F47" s="1"/>
      <c r="G47" s="1">
        <f>SUM(G44:G46)</f>
        <v>67</v>
      </c>
      <c r="H47" s="2"/>
      <c r="I47" s="2">
        <f t="shared" si="0"/>
        <v>0</v>
      </c>
    </row>
    <row r="48" spans="1:9" x14ac:dyDescent="0.25">
      <c r="A48" s="1"/>
      <c r="B48" s="1"/>
      <c r="C48" s="1"/>
      <c r="D48" s="1"/>
      <c r="E48" s="2"/>
      <c r="F48" s="1"/>
      <c r="G48" s="1"/>
      <c r="H48" s="2"/>
      <c r="I48" s="2">
        <f t="shared" si="0"/>
        <v>0</v>
      </c>
    </row>
    <row r="49" spans="1:9" x14ac:dyDescent="0.25">
      <c r="A49" s="1"/>
      <c r="B49" s="1" t="s">
        <v>11</v>
      </c>
      <c r="C49" s="1" t="s">
        <v>37</v>
      </c>
      <c r="D49" s="1">
        <v>53</v>
      </c>
      <c r="E49" s="2">
        <f>SUM(D49/D52)*100</f>
        <v>35.810810810810814</v>
      </c>
      <c r="F49" s="1"/>
      <c r="G49" s="1">
        <v>28</v>
      </c>
      <c r="H49" s="2">
        <f>SUM(G49/G52)*100</f>
        <v>41.791044776119399</v>
      </c>
      <c r="I49" s="5">
        <f t="shared" si="0"/>
        <v>-5.9802339653085852</v>
      </c>
    </row>
    <row r="50" spans="1:9" x14ac:dyDescent="0.25">
      <c r="A50" s="1"/>
      <c r="B50" s="1" t="s">
        <v>11</v>
      </c>
      <c r="C50" s="1" t="s">
        <v>38</v>
      </c>
      <c r="D50" s="1">
        <v>76</v>
      </c>
      <c r="E50" s="2">
        <f>SUM(D50/D52)*100</f>
        <v>51.351351351351347</v>
      </c>
      <c r="F50" s="1"/>
      <c r="G50" s="1">
        <v>34</v>
      </c>
      <c r="H50" s="2">
        <f>SUM(G50/G52)*100</f>
        <v>50.746268656716417</v>
      </c>
      <c r="I50" s="2">
        <f t="shared" si="0"/>
        <v>0.60508269463493036</v>
      </c>
    </row>
    <row r="51" spans="1:9" x14ac:dyDescent="0.25">
      <c r="A51" s="1"/>
      <c r="B51" s="1" t="s">
        <v>11</v>
      </c>
      <c r="C51" s="1" t="s">
        <v>39</v>
      </c>
      <c r="D51" s="1">
        <v>19</v>
      </c>
      <c r="E51" s="2">
        <f>SUM(D51/D52)*100</f>
        <v>12.837837837837837</v>
      </c>
      <c r="F51" s="1"/>
      <c r="G51" s="1">
        <v>5</v>
      </c>
      <c r="H51" s="2">
        <f>SUM(G51/G52)*100</f>
        <v>7.4626865671641784</v>
      </c>
      <c r="I51" s="2">
        <f t="shared" si="0"/>
        <v>5.3751512706736584</v>
      </c>
    </row>
    <row r="52" spans="1:9" x14ac:dyDescent="0.25">
      <c r="A52" s="1"/>
      <c r="B52" s="6" t="s">
        <v>42</v>
      </c>
      <c r="C52" s="1"/>
      <c r="D52" s="1">
        <f>SUM(D49:D51)</f>
        <v>148</v>
      </c>
      <c r="E52" s="2"/>
      <c r="F52" s="1"/>
      <c r="G52" s="1">
        <f>SUM(G49:G51)</f>
        <v>67</v>
      </c>
      <c r="H52" s="2"/>
      <c r="I52" s="2">
        <f t="shared" si="0"/>
        <v>0</v>
      </c>
    </row>
  </sheetData>
  <mergeCells count="2"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Status_Placed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</dc:creator>
  <cp:lastModifiedBy>Padmanaban Krishnan</cp:lastModifiedBy>
  <dcterms:created xsi:type="dcterms:W3CDTF">2025-11-17T18:42:48Z</dcterms:created>
  <dcterms:modified xsi:type="dcterms:W3CDTF">2025-11-20T20:48:16Z</dcterms:modified>
</cp:coreProperties>
</file>